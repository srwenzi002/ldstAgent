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9Hx1j5g3C7mdXSMjMpe6Q1_u_QAwCbzu\総務\申請書フォーマット\"/>
    </mc:Choice>
  </mc:AlternateContent>
  <xr:revisionPtr revIDLastSave="0" documentId="13_ncr:1_{DEDEE0EB-AA86-45E2-AFE1-16087156F268}" xr6:coauthVersionLast="47" xr6:coauthVersionMax="47" xr10:uidLastSave="{00000000-0000-0000-0000-000000000000}"/>
  <workbookProtection workbookAlgorithmName="SHA-512" workbookHashValue="UM87PT7MiH1I2sDMlRy2bB0KCK5J/EwmPv7kwjtQYcm8wlga4Zup+eHek1W8tx164YbVAu4DgAvf9Gxlo4aKtA==" workbookSaltValue="MCd1AU3A1AXkjQ4gzHsSOQ==" workbookSpinCount="100000" lockStructure="1"/>
  <bookViews>
    <workbookView xWindow="-108" yWindow="-108" windowWidth="23256" windowHeight="12456" xr2:uid="{00000000-000D-0000-FFFF-FFFF00000000}"/>
  </bookViews>
  <sheets>
    <sheet name="経費（個人）精算書" sheetId="5" r:id="rId1"/>
    <sheet name="記入方法" sheetId="4" r:id="rId2"/>
    <sheet name="用途項目の選び方" sheetId="9" r:id="rId3"/>
    <sheet name="集計シート" sheetId="8" state="hidden" r:id="rId4"/>
    <sheet name="科目" sheetId="2" state="hidden" r:id="rId5"/>
    <sheet name="部門" sheetId="6" state="hidden" r:id="rId6"/>
    <sheet name="プロジェクトコード" sheetId="7" state="hidden" r:id="rId7"/>
  </sheets>
  <definedNames>
    <definedName name="_xlnm.Print_Area" localSheetId="4">科目!$A$1:$G$57</definedName>
    <definedName name="_xlnm.Print_Area" localSheetId="1">記入方法!$A$1:$AQ$59</definedName>
    <definedName name="_xlnm.Print_Area" localSheetId="0">'経費（個人）精算書'!$A$1:$AJ$60</definedName>
    <definedName name="プロジェクトコードと名称">プロジェクトコード!$F$3:$F$47</definedName>
    <definedName name="科目一覧">科目!$A$3:$G$204</definedName>
    <definedName name="科目一覧2">科目!$B$3:$G$161</definedName>
    <definedName name="科目摘要">科目!$A$3:$A$53</definedName>
    <definedName name="詳細">科目!$A$4:$A$8</definedName>
    <definedName name="摘要">科目!$A$3:$A$53</definedName>
    <definedName name="部門">部門!$A$3:$A$12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7" l="1"/>
  <c r="A18" i="2"/>
  <c r="A16" i="2"/>
  <c r="A22" i="2"/>
  <c r="A19" i="2"/>
  <c r="A21" i="2"/>
  <c r="A23" i="2"/>
  <c r="A24" i="2"/>
  <c r="O4" i="8"/>
  <c r="O3" i="8"/>
  <c r="O2" i="8"/>
  <c r="C4" i="8"/>
  <c r="C3" i="8"/>
  <c r="C2" i="8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5" i="7"/>
  <c r="F6" i="7"/>
  <c r="F3" i="7"/>
  <c r="AF37" i="5"/>
  <c r="G4" i="8"/>
  <c r="H4" i="8" s="1"/>
  <c r="G3" i="8"/>
  <c r="H3" i="8" s="1"/>
  <c r="G2" i="8"/>
  <c r="AF38" i="5"/>
  <c r="A9" i="2"/>
  <c r="A7" i="2"/>
  <c r="A6" i="2"/>
  <c r="A5" i="2"/>
  <c r="A4" i="2"/>
  <c r="AG13" i="4"/>
  <c r="D2" i="8"/>
  <c r="F2" i="8" s="1"/>
  <c r="R4" i="8"/>
  <c r="R3" i="8"/>
  <c r="R2" i="8"/>
  <c r="Q3" i="8"/>
  <c r="S4" i="8"/>
  <c r="S3" i="8"/>
  <c r="S2" i="8"/>
  <c r="Q4" i="8"/>
  <c r="Q2" i="8"/>
  <c r="N4" i="8"/>
  <c r="N3" i="8"/>
  <c r="E4" i="8"/>
  <c r="D4" i="8"/>
  <c r="F4" i="8" s="1"/>
  <c r="E3" i="8"/>
  <c r="D3" i="8"/>
  <c r="F3" i="8" s="1"/>
  <c r="B4" i="8"/>
  <c r="B3" i="8"/>
  <c r="B2" i="8"/>
  <c r="N2" i="8"/>
  <c r="E2" i="8"/>
  <c r="Y47" i="5"/>
  <c r="AD32" i="5"/>
  <c r="AF26" i="5" s="1"/>
  <c r="AD20" i="5"/>
  <c r="AF13" i="5" s="1"/>
  <c r="AD44" i="5"/>
  <c r="AE5" i="5"/>
  <c r="B38" i="2"/>
  <c r="B39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3" i="2"/>
  <c r="AF5" i="4"/>
  <c r="AE20" i="4"/>
  <c r="AG25" i="4"/>
  <c r="AG26" i="4"/>
  <c r="AE32" i="4"/>
  <c r="AG37" i="4"/>
  <c r="AG38" i="4"/>
  <c r="AE44" i="4"/>
  <c r="Z47" i="4"/>
  <c r="AF12" i="5"/>
  <c r="AG12" i="4"/>
  <c r="AF35" i="5"/>
  <c r="AG24" i="4"/>
  <c r="AG35" i="4"/>
  <c r="AF23" i="5"/>
  <c r="AG23" i="4"/>
  <c r="AF36" i="5"/>
  <c r="AF24" i="5"/>
  <c r="AG36" i="4"/>
  <c r="AG11" i="4"/>
  <c r="AF11" i="5"/>
  <c r="AG14" i="4" l="1"/>
  <c r="H2" i="8"/>
  <c r="I2" i="8" s="1"/>
  <c r="J2" i="8" s="1"/>
  <c r="AF14" i="5"/>
  <c r="AF25" i="5"/>
  <c r="K3" i="8"/>
  <c r="I3" i="8"/>
  <c r="J3" i="8" s="1"/>
  <c r="I4" i="8"/>
  <c r="J4" i="8" s="1"/>
  <c r="K4" i="8"/>
  <c r="L3" i="8" l="1"/>
  <c r="M3" i="8" s="1"/>
  <c r="K2" i="8"/>
  <c r="L2" i="8" s="1"/>
  <c r="M2" i="8" s="1"/>
  <c r="L4" i="8"/>
  <c r="M4" i="8" s="1"/>
</calcChain>
</file>

<file path=xl/sharedStrings.xml><?xml version="1.0" encoding="utf-8"?>
<sst xmlns="http://schemas.openxmlformats.org/spreadsheetml/2006/main" count="454" uniqueCount="283">
  <si>
    <t>検印</t>
    <rPh sb="0" eb="2">
      <t>ケンイン</t>
    </rPh>
    <phoneticPr fontId="2"/>
  </si>
  <si>
    <t>申請者</t>
    <rPh sb="0" eb="3">
      <t>シンセイシャ</t>
    </rPh>
    <phoneticPr fontId="2"/>
  </si>
  <si>
    <t>社員番号</t>
    <rPh sb="0" eb="2">
      <t>シャイン</t>
    </rPh>
    <rPh sb="2" eb="4">
      <t>バンゴウ</t>
    </rPh>
    <phoneticPr fontId="2"/>
  </si>
  <si>
    <t>印</t>
    <rPh sb="0" eb="1">
      <t>イン</t>
    </rPh>
    <phoneticPr fontId="2"/>
  </si>
  <si>
    <t>作成日</t>
    <rPh sb="0" eb="3">
      <t>サクセイビ</t>
    </rPh>
    <phoneticPr fontId="2"/>
  </si>
  <si>
    <t>発生日</t>
    <rPh sb="0" eb="3">
      <t>ハッセイビ</t>
    </rPh>
    <phoneticPr fontId="2"/>
  </si>
  <si>
    <t>摘要</t>
    <rPh sb="0" eb="2">
      <t>テキヨウ</t>
    </rPh>
    <phoneticPr fontId="2"/>
  </si>
  <si>
    <t>支払先名</t>
    <rPh sb="0" eb="2">
      <t>シハライ</t>
    </rPh>
    <rPh sb="2" eb="3">
      <t>サキ</t>
    </rPh>
    <rPh sb="3" eb="4">
      <t>メイ</t>
    </rPh>
    <phoneticPr fontId="2"/>
  </si>
  <si>
    <t>稟議№</t>
    <rPh sb="0" eb="2">
      <t>リンギ</t>
    </rPh>
    <phoneticPr fontId="2"/>
  </si>
  <si>
    <t>当社参加者</t>
    <rPh sb="0" eb="2">
      <t>トウシャ</t>
    </rPh>
    <rPh sb="2" eb="5">
      <t>サンカシャ</t>
    </rPh>
    <phoneticPr fontId="2"/>
  </si>
  <si>
    <t>人数</t>
    <rPh sb="0" eb="2">
      <t>ニンズウ</t>
    </rPh>
    <phoneticPr fontId="2"/>
  </si>
  <si>
    <t>名</t>
    <rPh sb="0" eb="1">
      <t>メイ</t>
    </rPh>
    <phoneticPr fontId="2"/>
  </si>
  <si>
    <t>金額（税込）</t>
    <rPh sb="0" eb="2">
      <t>キンガク</t>
    </rPh>
    <rPh sb="3" eb="5">
      <t>ゼイコミ</t>
    </rPh>
    <phoneticPr fontId="2"/>
  </si>
  <si>
    <t>金額/人</t>
    <rPh sb="0" eb="2">
      <t>キンガク</t>
    </rPh>
    <rPh sb="3" eb="4">
      <t>ヒト</t>
    </rPh>
    <phoneticPr fontId="2"/>
  </si>
  <si>
    <t>相手先社名</t>
    <rPh sb="0" eb="3">
      <t>アイテサキ</t>
    </rPh>
    <rPh sb="3" eb="5">
      <t>シャメイ</t>
    </rPh>
    <phoneticPr fontId="2"/>
  </si>
  <si>
    <t>財務経理部使用欄</t>
    <rPh sb="0" eb="2">
      <t>ザイム</t>
    </rPh>
    <rPh sb="2" eb="4">
      <t>ケイリ</t>
    </rPh>
    <rPh sb="4" eb="5">
      <t>ブ</t>
    </rPh>
    <rPh sb="5" eb="7">
      <t>シヨウ</t>
    </rPh>
    <rPh sb="7" eb="8">
      <t>ラン</t>
    </rPh>
    <phoneticPr fontId="2"/>
  </si>
  <si>
    <t>担当</t>
    <rPh sb="0" eb="2">
      <t>タントウ</t>
    </rPh>
    <phoneticPr fontId="2"/>
  </si>
  <si>
    <t>　日付</t>
    <rPh sb="1" eb="3">
      <t>ヒヅケ</t>
    </rPh>
    <phoneticPr fontId="2"/>
  </si>
  <si>
    <t>支払確認</t>
    <rPh sb="0" eb="2">
      <t>シハライ</t>
    </rPh>
    <rPh sb="2" eb="4">
      <t>カクニン</t>
    </rPh>
    <phoneticPr fontId="2"/>
  </si>
  <si>
    <t>　その他</t>
    <rPh sb="3" eb="4">
      <t>タ</t>
    </rPh>
    <phoneticPr fontId="2"/>
  </si>
  <si>
    <t>伝票番号</t>
    <rPh sb="0" eb="2">
      <t>デンピョウ</t>
    </rPh>
    <rPh sb="2" eb="4">
      <t>バンゴウ</t>
    </rPh>
    <phoneticPr fontId="2"/>
  </si>
  <si>
    <t>合計金額</t>
    <rPh sb="0" eb="2">
      <t>ゴウケイ</t>
    </rPh>
    <rPh sb="2" eb="4">
      <t>キンガク</t>
    </rPh>
    <phoneticPr fontId="2"/>
  </si>
  <si>
    <t>摘要；</t>
    <rPh sb="0" eb="2">
      <t>テキヨウ</t>
    </rPh>
    <phoneticPr fontId="2"/>
  </si>
  <si>
    <t>科目摘要一覧</t>
    <rPh sb="0" eb="2">
      <t>カモク</t>
    </rPh>
    <rPh sb="2" eb="4">
      <t>テキヨウ</t>
    </rPh>
    <rPh sb="4" eb="6">
      <t>イチラン</t>
    </rPh>
    <phoneticPr fontId="2"/>
  </si>
  <si>
    <t>勘定科目</t>
    <rPh sb="0" eb="2">
      <t>カンジョウ</t>
    </rPh>
    <rPh sb="2" eb="4">
      <t>カモク</t>
    </rPh>
    <phoneticPr fontId="2"/>
  </si>
  <si>
    <t>科目名</t>
    <rPh sb="0" eb="3">
      <t>カモクメイ</t>
    </rPh>
    <phoneticPr fontId="2"/>
  </si>
  <si>
    <t>補助科目</t>
    <rPh sb="0" eb="2">
      <t>ホジョ</t>
    </rPh>
    <rPh sb="2" eb="4">
      <t>カモク</t>
    </rPh>
    <phoneticPr fontId="2"/>
  </si>
  <si>
    <t>補助科目名</t>
    <rPh sb="0" eb="2">
      <t>ホジョ</t>
    </rPh>
    <rPh sb="2" eb="5">
      <t>カモクメイ</t>
    </rPh>
    <phoneticPr fontId="2"/>
  </si>
  <si>
    <t>会議費</t>
  </si>
  <si>
    <t>用途</t>
    <rPh sb="0" eb="2">
      <t>ヨウト</t>
    </rPh>
    <phoneticPr fontId="2"/>
  </si>
  <si>
    <t/>
  </si>
  <si>
    <t>印紙税</t>
  </si>
  <si>
    <t>通信費</t>
  </si>
  <si>
    <t>相手先参加者名</t>
    <rPh sb="0" eb="3">
      <t>アイテサキ</t>
    </rPh>
    <rPh sb="3" eb="6">
      <t>サンカシャ</t>
    </rPh>
    <rPh sb="6" eb="7">
      <t>メイ</t>
    </rPh>
    <phoneticPr fontId="2"/>
  </si>
  <si>
    <t>決裁承認</t>
    <rPh sb="0" eb="2">
      <t>ケッサイ</t>
    </rPh>
    <rPh sb="2" eb="4">
      <t>ショウニン</t>
    </rPh>
    <phoneticPr fontId="2"/>
  </si>
  <si>
    <t>支払処理</t>
  </si>
  <si>
    <t>入力担当</t>
    <rPh sb="0" eb="2">
      <t>ニュウリョク</t>
    </rPh>
    <rPh sb="2" eb="4">
      <t>タントウ</t>
    </rPh>
    <phoneticPr fontId="2"/>
  </si>
  <si>
    <t>伝票入力処理日</t>
    <rPh sb="0" eb="2">
      <t>デンピョウ</t>
    </rPh>
    <rPh sb="2" eb="4">
      <t>ニュウリョク</t>
    </rPh>
    <rPh sb="4" eb="6">
      <t>ショリ</t>
    </rPh>
    <rPh sb="6" eb="7">
      <t>ビ</t>
    </rPh>
    <phoneticPr fontId="2"/>
  </si>
  <si>
    <t>相手科目</t>
    <rPh sb="0" eb="2">
      <t>アイテ</t>
    </rPh>
    <rPh sb="2" eb="4">
      <t>カモク</t>
    </rPh>
    <phoneticPr fontId="2"/>
  </si>
  <si>
    <t>経　費　精　算　書　（個人立替分）</t>
    <rPh sb="0" eb="1">
      <t>キョウ</t>
    </rPh>
    <rPh sb="2" eb="3">
      <t>ヒ</t>
    </rPh>
    <rPh sb="4" eb="5">
      <t>セイ</t>
    </rPh>
    <rPh sb="6" eb="7">
      <t>ザン</t>
    </rPh>
    <rPh sb="8" eb="9">
      <t>ショ</t>
    </rPh>
    <rPh sb="11" eb="13">
      <t>コジン</t>
    </rPh>
    <rPh sb="13" eb="15">
      <t>タテカエ</t>
    </rPh>
    <rPh sb="15" eb="16">
      <t>ブン</t>
    </rPh>
    <phoneticPr fontId="2"/>
  </si>
  <si>
    <t>氏名</t>
    <rPh sb="0" eb="2">
      <t>シメイ</t>
    </rPh>
    <phoneticPr fontId="2"/>
  </si>
  <si>
    <t>部門</t>
    <rPh sb="0" eb="2">
      <t>ブモン</t>
    </rPh>
    <phoneticPr fontId="2"/>
  </si>
  <si>
    <t>負担部門</t>
    <rPh sb="0" eb="2">
      <t>フタン</t>
    </rPh>
    <rPh sb="2" eb="4">
      <t>ブモン</t>
    </rPh>
    <phoneticPr fontId="2"/>
  </si>
  <si>
    <t>稟議承認日付</t>
    <rPh sb="0" eb="2">
      <t>リンギ</t>
    </rPh>
    <rPh sb="2" eb="4">
      <t>ショウニン</t>
    </rPh>
    <rPh sb="4" eb="6">
      <t>ヒヅケ</t>
    </rPh>
    <phoneticPr fontId="2"/>
  </si>
  <si>
    <t>財務経理部</t>
    <rPh sb="0" eb="2">
      <t>ザイム</t>
    </rPh>
    <rPh sb="2" eb="4">
      <t>ケイリ</t>
    </rPh>
    <rPh sb="4" eb="5">
      <t>ブ</t>
    </rPh>
    <phoneticPr fontId="2"/>
  </si>
  <si>
    <t>新日本監査法人と「内部統制報告書」対象の会社、重要な勘定科目に</t>
    <rPh sb="0" eb="1">
      <t>シン</t>
    </rPh>
    <rPh sb="1" eb="3">
      <t>ニホン</t>
    </rPh>
    <rPh sb="3" eb="5">
      <t>カンサ</t>
    </rPh>
    <rPh sb="5" eb="7">
      <t>ホウジン</t>
    </rPh>
    <rPh sb="9" eb="11">
      <t>ナイブ</t>
    </rPh>
    <rPh sb="11" eb="13">
      <t>トウセイ</t>
    </rPh>
    <rPh sb="13" eb="16">
      <t>ホウコクショ</t>
    </rPh>
    <rPh sb="17" eb="19">
      <t>タイショウ</t>
    </rPh>
    <rPh sb="20" eb="22">
      <t>カイシャ</t>
    </rPh>
    <rPh sb="23" eb="25">
      <t>ジュウヨウ</t>
    </rPh>
    <rPh sb="26" eb="28">
      <t>カンジョウ</t>
    </rPh>
    <rPh sb="28" eb="30">
      <t>カモク</t>
    </rPh>
    <phoneticPr fontId="2"/>
  </si>
  <si>
    <t>ついて打合せ</t>
    <rPh sb="3" eb="5">
      <t>ウチアワ</t>
    </rPh>
    <phoneticPr fontId="2"/>
  </si>
  <si>
    <t>新日本監査法人</t>
    <rPh sb="0" eb="1">
      <t>シン</t>
    </rPh>
    <rPh sb="1" eb="3">
      <t>ニホン</t>
    </rPh>
    <rPh sb="3" eb="5">
      <t>カンサ</t>
    </rPh>
    <rPh sb="5" eb="7">
      <t>ホウジン</t>
    </rPh>
    <phoneticPr fontId="2"/>
  </si>
  <si>
    <t>記　入　要　領　：　経　費　精　算　書　（個人立替分）</t>
    <rPh sb="0" eb="1">
      <t>キ</t>
    </rPh>
    <rPh sb="2" eb="3">
      <t>イリ</t>
    </rPh>
    <rPh sb="4" eb="5">
      <t>ヨウ</t>
    </rPh>
    <rPh sb="6" eb="7">
      <t>リョウ</t>
    </rPh>
    <rPh sb="10" eb="11">
      <t>キョウ</t>
    </rPh>
    <rPh sb="12" eb="13">
      <t>ヒ</t>
    </rPh>
    <rPh sb="14" eb="15">
      <t>セイ</t>
    </rPh>
    <rPh sb="16" eb="17">
      <t>ザン</t>
    </rPh>
    <rPh sb="18" eb="19">
      <t>ショ</t>
    </rPh>
    <rPh sb="21" eb="23">
      <t>コジン</t>
    </rPh>
    <rPh sb="23" eb="25">
      <t>タテカエ</t>
    </rPh>
    <rPh sb="25" eb="26">
      <t>ブン</t>
    </rPh>
    <phoneticPr fontId="2"/>
  </si>
  <si>
    <t>○○　●●</t>
    <phoneticPr fontId="2"/>
  </si>
  <si>
    <t>サンルートホテルズ</t>
    <phoneticPr fontId="2"/>
  </si>
  <si>
    <t>○○、○○、○○</t>
    <phoneticPr fontId="2"/>
  </si>
  <si>
    <t>○○、○○、○○</t>
    <phoneticPr fontId="2"/>
  </si>
  <si>
    <t>㈱リーディングソフト</t>
    <phoneticPr fontId="2"/>
  </si>
  <si>
    <t>　　現金</t>
    <rPh sb="2" eb="4">
      <t>ゲンキン</t>
    </rPh>
    <phoneticPr fontId="2"/>
  </si>
  <si>
    <t>管理部使用欄</t>
    <rPh sb="0" eb="2">
      <t>カンリ</t>
    </rPh>
    <phoneticPr fontId="2"/>
  </si>
  <si>
    <t>承認</t>
    <phoneticPr fontId="2"/>
  </si>
  <si>
    <t>承認</t>
    <rPh sb="0" eb="2">
      <t>ショウニン</t>
    </rPh>
    <phoneticPr fontId="2"/>
  </si>
  <si>
    <t>当座預金</t>
    <rPh sb="0" eb="2">
      <t>トウザ</t>
    </rPh>
    <rPh sb="2" eb="4">
      <t>ヨキン</t>
    </rPh>
    <phoneticPr fontId="2"/>
  </si>
  <si>
    <t>未払金</t>
    <rPh sb="0" eb="1">
      <t>ミ</t>
    </rPh>
    <rPh sb="1" eb="2">
      <t>バライ</t>
    </rPh>
    <rPh sb="2" eb="3">
      <t>キ</t>
    </rPh>
    <phoneticPr fontId="2"/>
  </si>
  <si>
    <t>部門名称一覧</t>
    <rPh sb="0" eb="2">
      <t>ブモン</t>
    </rPh>
    <rPh sb="2" eb="4">
      <t>メイショウ</t>
    </rPh>
    <rPh sb="4" eb="6">
      <t>イチラン</t>
    </rPh>
    <phoneticPr fontId="2"/>
  </si>
  <si>
    <t>有効フラグ</t>
    <rPh sb="0" eb="2">
      <t>ユウコウ</t>
    </rPh>
    <phoneticPr fontId="2"/>
  </si>
  <si>
    <t>取締役会</t>
    <rPh sb="0" eb="3">
      <t>トリシマリヤク</t>
    </rPh>
    <rPh sb="3" eb="4">
      <t>カイ</t>
    </rPh>
    <phoneticPr fontId="13"/>
  </si>
  <si>
    <t>営業部</t>
    <rPh sb="0" eb="3">
      <t>エイギョウブ</t>
    </rPh>
    <phoneticPr fontId="13"/>
  </si>
  <si>
    <t>管理部</t>
    <rPh sb="0" eb="3">
      <t>カンリブ</t>
    </rPh>
    <phoneticPr fontId="13"/>
  </si>
  <si>
    <t>開発本部</t>
    <rPh sb="0" eb="2">
      <t>カイハツ</t>
    </rPh>
    <rPh sb="2" eb="4">
      <t>ホンブ</t>
    </rPh>
    <phoneticPr fontId="13"/>
  </si>
  <si>
    <t>プロジェクトコードと名称一覧</t>
    <rPh sb="10" eb="12">
      <t>メイショウ</t>
    </rPh>
    <rPh sb="12" eb="14">
      <t>イチラン</t>
    </rPh>
    <phoneticPr fontId="2"/>
  </si>
  <si>
    <t>プロジェクトコード
8桁</t>
    <rPh sb="11" eb="12">
      <t>ケタ</t>
    </rPh>
    <phoneticPr fontId="2"/>
  </si>
  <si>
    <t>名称</t>
    <rPh sb="0" eb="2">
      <t>メイショウ</t>
    </rPh>
    <phoneticPr fontId="2"/>
  </si>
  <si>
    <t>期間
FROM</t>
    <rPh sb="0" eb="2">
      <t>キカン</t>
    </rPh>
    <phoneticPr fontId="2"/>
  </si>
  <si>
    <t>期間
TO</t>
    <rPh sb="0" eb="2">
      <t>キカン</t>
    </rPh>
    <phoneticPr fontId="2"/>
  </si>
  <si>
    <t>青戸寮関連</t>
    <rPh sb="0" eb="2">
      <t>アオト</t>
    </rPh>
    <rPh sb="2" eb="3">
      <t>リョウ</t>
    </rPh>
    <rPh sb="3" eb="5">
      <t>カンレン</t>
    </rPh>
    <phoneticPr fontId="1"/>
  </si>
  <si>
    <t>管理部所管経費</t>
    <rPh sb="0" eb="3">
      <t>カンリブ</t>
    </rPh>
    <rPh sb="3" eb="5">
      <t>ショカン</t>
    </rPh>
    <rPh sb="5" eb="7">
      <t>ケイヒ</t>
    </rPh>
    <phoneticPr fontId="1"/>
  </si>
  <si>
    <t>リスト表示用
名前の定義：プロジェクトコードと名称</t>
    <rPh sb="3" eb="5">
      <t>ヒョウジ</t>
    </rPh>
    <rPh sb="5" eb="6">
      <t>ヨウ</t>
    </rPh>
    <rPh sb="7" eb="9">
      <t>ナマエ</t>
    </rPh>
    <rPh sb="10" eb="12">
      <t>テイギ</t>
    </rPh>
    <rPh sb="23" eb="25">
      <t>メイショウ</t>
    </rPh>
    <phoneticPr fontId="2"/>
  </si>
  <si>
    <t>部門
名前の定義：部門</t>
    <rPh sb="0" eb="2">
      <t>ブモン</t>
    </rPh>
    <rPh sb="3" eb="5">
      <t>ナマエ</t>
    </rPh>
    <rPh sb="6" eb="8">
      <t>テイギ</t>
    </rPh>
    <rPh sb="9" eb="11">
      <t>ブモン</t>
    </rPh>
    <phoneticPr fontId="2"/>
  </si>
  <si>
    <t>稟議№、稟議承認日付</t>
    <rPh sb="0" eb="2">
      <t>リンギ</t>
    </rPh>
    <rPh sb="4" eb="6">
      <t>リンギ</t>
    </rPh>
    <rPh sb="6" eb="8">
      <t>ショウニン</t>
    </rPh>
    <rPh sb="8" eb="10">
      <t>ヒヅケ</t>
    </rPh>
    <phoneticPr fontId="2"/>
  </si>
  <si>
    <t>プロジェクトコード、名称</t>
    <rPh sb="10" eb="12">
      <t>メイショウ</t>
    </rPh>
    <phoneticPr fontId="2"/>
  </si>
  <si>
    <t>1：オンサイト作業（現場）、2：一括開発/BSE・海外共同開発、3：保守、4：オフショア（離岸）</t>
    <rPh sb="7" eb="9">
      <t>サギョウ</t>
    </rPh>
    <rPh sb="10" eb="12">
      <t>ゲンバ</t>
    </rPh>
    <rPh sb="16" eb="18">
      <t>イッカツ</t>
    </rPh>
    <rPh sb="18" eb="20">
      <t>カイハツ</t>
    </rPh>
    <rPh sb="25" eb="27">
      <t>カイガイ</t>
    </rPh>
    <rPh sb="27" eb="29">
      <t>キョウドウ</t>
    </rPh>
    <rPh sb="29" eb="31">
      <t>カイハツ</t>
    </rPh>
    <rPh sb="34" eb="36">
      <t>ホシュ</t>
    </rPh>
    <rPh sb="45" eb="47">
      <t>リガン</t>
    </rPh>
    <phoneticPr fontId="1"/>
  </si>
  <si>
    <t>名前</t>
    <rPh sb="0" eb="2">
      <t>ナマエ</t>
    </rPh>
    <phoneticPr fontId="2"/>
  </si>
  <si>
    <t>ファイル名</t>
    <rPh sb="4" eb="5">
      <t>メイ</t>
    </rPh>
    <phoneticPr fontId="2"/>
  </si>
  <si>
    <t>負担部門</t>
    <rPh sb="0" eb="4">
      <t>フタンブモン</t>
    </rPh>
    <phoneticPr fontId="2"/>
  </si>
  <si>
    <t>金額</t>
    <rPh sb="0" eb="2">
      <t>キンガク</t>
    </rPh>
    <phoneticPr fontId="2"/>
  </si>
  <si>
    <t>課対仕入内10%適格</t>
  </si>
  <si>
    <t>税区分</t>
    <rPh sb="0" eb="3">
      <t>ゼイクブン</t>
    </rPh>
    <phoneticPr fontId="2"/>
  </si>
  <si>
    <t>プロジェクトコード:名称</t>
    <rPh sb="10" eb="12">
      <t>メイショウ</t>
    </rPh>
    <phoneticPr fontId="2"/>
  </si>
  <si>
    <t>立替金</t>
    <rPh sb="0" eb="3">
      <t>タテカエキン</t>
    </rPh>
    <phoneticPr fontId="2"/>
  </si>
  <si>
    <t>荷造運賃</t>
  </si>
  <si>
    <t>交際費</t>
  </si>
  <si>
    <t>旅費交通費</t>
  </si>
  <si>
    <t>消耗品費</t>
  </si>
  <si>
    <t>水道光熱費</t>
  </si>
  <si>
    <t>図書費</t>
  </si>
  <si>
    <t>諸会費</t>
  </si>
  <si>
    <t>他支払手数料</t>
  </si>
  <si>
    <t>保険料</t>
  </si>
  <si>
    <t>他租税公課</t>
  </si>
  <si>
    <t>その他</t>
    <rPh sb="2" eb="3">
      <t>タ</t>
    </rPh>
    <phoneticPr fontId="2"/>
  </si>
  <si>
    <t>勘定項目1</t>
    <rPh sb="0" eb="4">
      <t>カンジョウコウモク</t>
    </rPh>
    <phoneticPr fontId="2"/>
  </si>
  <si>
    <t>勘定項目</t>
    <rPh sb="0" eb="2">
      <t>カンジョウ</t>
    </rPh>
    <rPh sb="2" eb="4">
      <t>コウモク</t>
    </rPh>
    <phoneticPr fontId="2"/>
  </si>
  <si>
    <t>補助項目1</t>
    <rPh sb="0" eb="2">
      <t>ホジョ</t>
    </rPh>
    <rPh sb="2" eb="4">
      <t>コウモク</t>
    </rPh>
    <phoneticPr fontId="2"/>
  </si>
  <si>
    <t>補助項目</t>
    <phoneticPr fontId="2"/>
  </si>
  <si>
    <t>福利厚生費</t>
    <rPh sb="0" eb="4">
      <t>フクリコウセイ</t>
    </rPh>
    <rPh sb="4" eb="5">
      <t>ヒ</t>
    </rPh>
    <phoneticPr fontId="2"/>
  </si>
  <si>
    <t>福利厚生費＿レクレーション補助</t>
    <rPh sb="0" eb="4">
      <t>フクリコウセイ</t>
    </rPh>
    <rPh sb="4" eb="5">
      <t>ヒ</t>
    </rPh>
    <rPh sb="13" eb="15">
      <t>ホジョ</t>
    </rPh>
    <phoneticPr fontId="2"/>
  </si>
  <si>
    <t>福利厚生費＿社内福利厚生行事</t>
    <rPh sb="0" eb="4">
      <t>フクリコウセイ</t>
    </rPh>
    <rPh sb="4" eb="5">
      <t>ヒ</t>
    </rPh>
    <rPh sb="6" eb="8">
      <t>シャナイ</t>
    </rPh>
    <rPh sb="8" eb="12">
      <t>フクリコウセイ</t>
    </rPh>
    <rPh sb="12" eb="14">
      <t>ギョウジ</t>
    </rPh>
    <phoneticPr fontId="2"/>
  </si>
  <si>
    <t>福利厚生費</t>
    <phoneticPr fontId="2"/>
  </si>
  <si>
    <t>レクレーション補助</t>
    <phoneticPr fontId="2"/>
  </si>
  <si>
    <t>社内福利厚生行事</t>
    <phoneticPr fontId="2"/>
  </si>
  <si>
    <t>立替金＿LDNS</t>
    <rPh sb="0" eb="3">
      <t>タテカエキン</t>
    </rPh>
    <phoneticPr fontId="2"/>
  </si>
  <si>
    <t>LDNS</t>
    <phoneticPr fontId="2"/>
  </si>
  <si>
    <t>社員名</t>
    <rPh sb="0" eb="3">
      <t>シャインメイ</t>
    </rPh>
    <phoneticPr fontId="2"/>
  </si>
  <si>
    <t>社員名</t>
    <phoneticPr fontId="2"/>
  </si>
  <si>
    <t>社員名</t>
    <phoneticPr fontId="2"/>
  </si>
  <si>
    <t>勘定項目2</t>
    <rPh sb="0" eb="4">
      <t>カンジョウコウモク</t>
    </rPh>
    <phoneticPr fontId="2"/>
  </si>
  <si>
    <t>補助項目2</t>
    <rPh sb="0" eb="2">
      <t>ホジョ</t>
    </rPh>
    <rPh sb="2" eb="4">
      <t>コウモク</t>
    </rPh>
    <phoneticPr fontId="2"/>
  </si>
  <si>
    <t>勘定項目3</t>
    <rPh sb="0" eb="2">
      <t>カンジョウ</t>
    </rPh>
    <rPh sb="2" eb="4">
      <t>コウモク</t>
    </rPh>
    <phoneticPr fontId="2"/>
  </si>
  <si>
    <t>製造科目名</t>
    <rPh sb="0" eb="2">
      <t>セイゾウ</t>
    </rPh>
    <rPh sb="2" eb="4">
      <t>カモク</t>
    </rPh>
    <rPh sb="4" eb="5">
      <t>メイ</t>
    </rPh>
    <phoneticPr fontId="2"/>
  </si>
  <si>
    <t>[製]交際費</t>
  </si>
  <si>
    <t>[製]会議費</t>
  </si>
  <si>
    <t>[製]旅費交通費</t>
  </si>
  <si>
    <t>[製]通信費</t>
  </si>
  <si>
    <t>[製]消耗品費</t>
  </si>
  <si>
    <t>[製]図書費</t>
  </si>
  <si>
    <t>[製]福利厚生費</t>
  </si>
  <si>
    <t>[製]水道光熱費</t>
  </si>
  <si>
    <t>[製]諸会費</t>
  </si>
  <si>
    <t>[製]保険料</t>
  </si>
  <si>
    <t>[製]支払手数料</t>
  </si>
  <si>
    <t>プラットフォーム開発部</t>
    <rPh sb="8" eb="10">
      <t>カイハツ</t>
    </rPh>
    <rPh sb="10" eb="11">
      <t>ブ</t>
    </rPh>
    <phoneticPr fontId="13"/>
  </si>
  <si>
    <t>ソリューション開発部</t>
    <rPh sb="7" eb="9">
      <t>カイハツ</t>
    </rPh>
    <rPh sb="9" eb="10">
      <t>ブ</t>
    </rPh>
    <phoneticPr fontId="13"/>
  </si>
  <si>
    <t>010</t>
    <phoneticPr fontId="2"/>
  </si>
  <si>
    <t>020</t>
    <phoneticPr fontId="2"/>
  </si>
  <si>
    <t>030</t>
    <phoneticPr fontId="2"/>
  </si>
  <si>
    <t>040</t>
    <phoneticPr fontId="2"/>
  </si>
  <si>
    <t>050</t>
    <phoneticPr fontId="2"/>
  </si>
  <si>
    <t>070</t>
    <phoneticPr fontId="2"/>
  </si>
  <si>
    <t>080</t>
    <phoneticPr fontId="2"/>
  </si>
  <si>
    <t>090</t>
    <phoneticPr fontId="2"/>
  </si>
  <si>
    <t>110</t>
    <phoneticPr fontId="2"/>
  </si>
  <si>
    <t>120</t>
    <phoneticPr fontId="2"/>
  </si>
  <si>
    <t>130</t>
    <phoneticPr fontId="2"/>
  </si>
  <si>
    <t>140</t>
    <phoneticPr fontId="2"/>
  </si>
  <si>
    <t>150</t>
    <phoneticPr fontId="2"/>
  </si>
  <si>
    <t>01</t>
    <phoneticPr fontId="2"/>
  </si>
  <si>
    <t>01</t>
    <phoneticPr fontId="2"/>
  </si>
  <si>
    <t>02</t>
    <phoneticPr fontId="2"/>
  </si>
  <si>
    <t>開発区分</t>
    <rPh sb="0" eb="2">
      <t>カイハツ</t>
    </rPh>
    <rPh sb="2" eb="4">
      <t>クブン</t>
    </rPh>
    <phoneticPr fontId="2"/>
  </si>
  <si>
    <t>経費立替</t>
    <rPh sb="0" eb="2">
      <t>ケイヒ</t>
    </rPh>
    <rPh sb="2" eb="3">
      <t>タ</t>
    </rPh>
    <rPh sb="3" eb="4">
      <t>カ</t>
    </rPh>
    <phoneticPr fontId="2"/>
  </si>
  <si>
    <t>個人精算区分</t>
    <rPh sb="0" eb="4">
      <t>コジンセイサン</t>
    </rPh>
    <rPh sb="4" eb="6">
      <t>クブン</t>
    </rPh>
    <phoneticPr fontId="2"/>
  </si>
  <si>
    <t>CSE001</t>
    <phoneticPr fontId="2"/>
  </si>
  <si>
    <t>CSE部門経費</t>
    <rPh sb="3" eb="5">
      <t>ブモン</t>
    </rPh>
    <rPh sb="5" eb="7">
      <t>ケイヒ</t>
    </rPh>
    <phoneticPr fontId="1"/>
  </si>
  <si>
    <t>PF0001</t>
  </si>
  <si>
    <t>PF部門経費</t>
    <rPh sb="2" eb="4">
      <t>ブモン</t>
    </rPh>
    <rPh sb="4" eb="6">
      <t>ケイヒ</t>
    </rPh>
    <phoneticPr fontId="1"/>
  </si>
  <si>
    <t>SD0001</t>
  </si>
  <si>
    <t>SD部門経費</t>
  </si>
  <si>
    <t>SS0001</t>
  </si>
  <si>
    <t>KH0001</t>
  </si>
  <si>
    <t>開発本部部門経費</t>
    <rPh sb="0" eb="2">
      <t>カイハツ</t>
    </rPh>
    <rPh sb="2" eb="4">
      <t>ホンブ</t>
    </rPh>
    <rPh sb="4" eb="6">
      <t>ブモン</t>
    </rPh>
    <rPh sb="6" eb="8">
      <t>ケイヒ</t>
    </rPh>
    <phoneticPr fontId="1"/>
  </si>
  <si>
    <t>BL0010</t>
  </si>
  <si>
    <t>先端技術開発室</t>
  </si>
  <si>
    <t>BL0021</t>
  </si>
  <si>
    <t>第一開発部</t>
  </si>
  <si>
    <t>BL0022</t>
  </si>
  <si>
    <t>第二開発部</t>
    <rPh sb="1" eb="2">
      <t>ニ</t>
    </rPh>
    <phoneticPr fontId="1"/>
  </si>
  <si>
    <t>BL0023</t>
  </si>
  <si>
    <t>第三開発部</t>
    <rPh sb="1" eb="2">
      <t>サン</t>
    </rPh>
    <phoneticPr fontId="1"/>
  </si>
  <si>
    <t>BL0030</t>
  </si>
  <si>
    <t>情報システム部</t>
  </si>
  <si>
    <t>SB0011</t>
  </si>
  <si>
    <t>IoT(龍海)</t>
  </si>
  <si>
    <t>SB0012</t>
  </si>
  <si>
    <t>IoT(張慈勇)</t>
  </si>
  <si>
    <t>SB0021</t>
  </si>
  <si>
    <t>ダンプネット企画ph</t>
  </si>
  <si>
    <t>SB0022</t>
  </si>
  <si>
    <t>ダンプネット開発</t>
  </si>
  <si>
    <t>SB0030</t>
  </si>
  <si>
    <t>プラメBiz開発</t>
  </si>
  <si>
    <t>SB0041</t>
  </si>
  <si>
    <t>データプラットフォーム開発</t>
  </si>
  <si>
    <t>SB0042</t>
  </si>
  <si>
    <t>データプラットフォーム開発(南京)</t>
  </si>
  <si>
    <t>SB0050</t>
  </si>
  <si>
    <t>どこかなGPSサーバ開発</t>
  </si>
  <si>
    <t>SB0061</t>
  </si>
  <si>
    <t>API-Suite維持</t>
  </si>
  <si>
    <t>SB0062</t>
  </si>
  <si>
    <t>API-SuiteマルチPF追加</t>
  </si>
  <si>
    <t>SB0071</t>
  </si>
  <si>
    <t>アシストスマホ</t>
  </si>
  <si>
    <t>SB0072</t>
  </si>
  <si>
    <t>アシストスマホ追加(下期)</t>
  </si>
  <si>
    <t>SB0081</t>
  </si>
  <si>
    <t>EricssonGUI保守</t>
  </si>
  <si>
    <t>SB0082</t>
  </si>
  <si>
    <t>EricssonGUI_Repla</t>
  </si>
  <si>
    <t>SB0083</t>
  </si>
  <si>
    <t>Consolidator</t>
  </si>
  <si>
    <t>SB0084</t>
  </si>
  <si>
    <t>EricssonGUIオンプレ</t>
  </si>
  <si>
    <t>SB0090</t>
  </si>
  <si>
    <t>Apigee GKEバージョンアップ</t>
  </si>
  <si>
    <t>NC0010</t>
  </si>
  <si>
    <t>NTTCom（アプリ保守）</t>
  </si>
  <si>
    <t>NC0020</t>
  </si>
  <si>
    <t>NTTCom（開発)</t>
  </si>
  <si>
    <t>CW0010</t>
  </si>
  <si>
    <t>NTTコムウェア</t>
  </si>
  <si>
    <t>DC0001</t>
  </si>
  <si>
    <t>NTTドコモ(未記入)</t>
  </si>
  <si>
    <t>KD0010</t>
  </si>
  <si>
    <t>KDDI（加治佐）</t>
  </si>
  <si>
    <t>KD0020</t>
  </si>
  <si>
    <t>KDDI（裏隠居)</t>
  </si>
  <si>
    <t>OY0010</t>
  </si>
  <si>
    <t>応用</t>
  </si>
  <si>
    <t>JM0010</t>
  </si>
  <si>
    <t>JEMS</t>
  </si>
  <si>
    <t>東京堂</t>
  </si>
  <si>
    <t>SS0002</t>
  </si>
  <si>
    <t>中央物産</t>
  </si>
  <si>
    <t>SS0003</t>
  </si>
  <si>
    <t>デジマース</t>
  </si>
  <si>
    <t>SS0004</t>
  </si>
  <si>
    <t>BL_反社チェックAPI</t>
  </si>
  <si>
    <t>SS0005</t>
  </si>
  <si>
    <t>インフォート</t>
  </si>
  <si>
    <t>KN0001</t>
    <phoneticPr fontId="2"/>
  </si>
  <si>
    <t>AO0001</t>
    <phoneticPr fontId="2"/>
  </si>
  <si>
    <t>カスタマサポートエンジニアリング部</t>
    <phoneticPr fontId="2"/>
  </si>
  <si>
    <t>交際費</t>
    <rPh sb="0" eb="3">
      <t>コウサイヒ</t>
    </rPh>
    <phoneticPr fontId="2"/>
  </si>
  <si>
    <t>取引先等に対する接待に要した飲食代</t>
    <rPh sb="0" eb="2">
      <t>トリヒキ</t>
    </rPh>
    <rPh sb="2" eb="3">
      <t>サキ</t>
    </rPh>
    <rPh sb="3" eb="4">
      <t>トウ</t>
    </rPh>
    <rPh sb="14" eb="16">
      <t>インショク</t>
    </rPh>
    <rPh sb="16" eb="17">
      <t>ダイ</t>
    </rPh>
    <phoneticPr fontId="2"/>
  </si>
  <si>
    <t>慶弔花代、祝弔電等</t>
    <rPh sb="0" eb="2">
      <t>ケイチョウ</t>
    </rPh>
    <rPh sb="2" eb="3">
      <t>ハナ</t>
    </rPh>
    <rPh sb="3" eb="4">
      <t>ダイ</t>
    </rPh>
    <rPh sb="5" eb="6">
      <t>シュク</t>
    </rPh>
    <rPh sb="6" eb="8">
      <t>チョウデン</t>
    </rPh>
    <rPh sb="8" eb="9">
      <t>トウ</t>
    </rPh>
    <phoneticPr fontId="2"/>
  </si>
  <si>
    <t>取引先等に対するお祝い、見舞い等</t>
  </si>
  <si>
    <t>取引先等に対するお中元、お歳暮代</t>
    <rPh sb="9" eb="11">
      <t>チュウゲン</t>
    </rPh>
    <rPh sb="13" eb="15">
      <t>セイボ</t>
    </rPh>
    <rPh sb="15" eb="16">
      <t>ダイ</t>
    </rPh>
    <phoneticPr fontId="2"/>
  </si>
  <si>
    <t>慰安費</t>
  </si>
  <si>
    <t>お土産、ゴルフプレー代、商品券代等</t>
    <rPh sb="10" eb="11">
      <t>ダイ</t>
    </rPh>
    <rPh sb="16" eb="17">
      <t>トウ</t>
    </rPh>
    <phoneticPr fontId="2"/>
  </si>
  <si>
    <t>会議、業務打合せ時のお茶菓子代</t>
    <rPh sb="0" eb="2">
      <t>カイギ</t>
    </rPh>
    <rPh sb="3" eb="5">
      <t>ギョウム</t>
    </rPh>
    <rPh sb="5" eb="7">
      <t>ウチアワ</t>
    </rPh>
    <rPh sb="8" eb="9">
      <t>ジ</t>
    </rPh>
    <rPh sb="11" eb="12">
      <t>チャ</t>
    </rPh>
    <rPh sb="12" eb="14">
      <t>ガシ</t>
    </rPh>
    <rPh sb="14" eb="15">
      <t>ダイ</t>
    </rPh>
    <phoneticPr fontId="2"/>
  </si>
  <si>
    <t>会議、業務打合せ時の昼食程度の飲食代</t>
    <rPh sb="0" eb="2">
      <t>カイギ</t>
    </rPh>
    <rPh sb="3" eb="5">
      <t>ギョウム</t>
    </rPh>
    <rPh sb="5" eb="7">
      <t>ウチアワ</t>
    </rPh>
    <rPh sb="8" eb="9">
      <t>ジ</t>
    </rPh>
    <rPh sb="10" eb="12">
      <t>チュウショク</t>
    </rPh>
    <rPh sb="12" eb="14">
      <t>テイド</t>
    </rPh>
    <rPh sb="15" eb="17">
      <t>インショク</t>
    </rPh>
    <rPh sb="17" eb="18">
      <t>ダイ</t>
    </rPh>
    <phoneticPr fontId="2"/>
  </si>
  <si>
    <t>会議会場使用料</t>
    <rPh sb="0" eb="2">
      <t>カイギ</t>
    </rPh>
    <rPh sb="2" eb="4">
      <t>カイジョウ</t>
    </rPh>
    <rPh sb="4" eb="7">
      <t>シヨウリョウ</t>
    </rPh>
    <phoneticPr fontId="2"/>
  </si>
  <si>
    <t>その他会議に要した費用</t>
    <rPh sb="2" eb="3">
      <t>ホカ</t>
    </rPh>
    <rPh sb="3" eb="5">
      <t>カイギ</t>
    </rPh>
    <rPh sb="6" eb="7">
      <t>ヨウ</t>
    </rPh>
    <rPh sb="9" eb="11">
      <t>ヒヨウ</t>
    </rPh>
    <phoneticPr fontId="2"/>
  </si>
  <si>
    <t>会議費</t>
    <rPh sb="0" eb="3">
      <t>カイギヒ</t>
    </rPh>
    <phoneticPr fontId="2"/>
  </si>
  <si>
    <t>通信費</t>
    <rPh sb="0" eb="3">
      <t>ツウシンヒ</t>
    </rPh>
    <phoneticPr fontId="2"/>
  </si>
  <si>
    <t>電話料金使用料</t>
    <rPh sb="0" eb="2">
      <t>デンワ</t>
    </rPh>
    <rPh sb="2" eb="4">
      <t>リョウキン</t>
    </rPh>
    <rPh sb="4" eb="7">
      <t>シヨウリョウ</t>
    </rPh>
    <phoneticPr fontId="2"/>
  </si>
  <si>
    <t>国際電話料金使用料</t>
    <rPh sb="0" eb="2">
      <t>コクサイ</t>
    </rPh>
    <rPh sb="2" eb="4">
      <t>デンワ</t>
    </rPh>
    <rPh sb="4" eb="6">
      <t>リョウキン</t>
    </rPh>
    <rPh sb="6" eb="9">
      <t>シヨウリョウ</t>
    </rPh>
    <phoneticPr fontId="2"/>
  </si>
  <si>
    <t>携帯電話使用料</t>
    <rPh sb="0" eb="2">
      <t>ケイタイ</t>
    </rPh>
    <rPh sb="2" eb="4">
      <t>デンワ</t>
    </rPh>
    <rPh sb="4" eb="6">
      <t>シヨウ</t>
    </rPh>
    <rPh sb="6" eb="7">
      <t>リョウ</t>
    </rPh>
    <phoneticPr fontId="2"/>
  </si>
  <si>
    <t>携帯電話（国際）使用料</t>
    <rPh sb="0" eb="2">
      <t>ケイタイ</t>
    </rPh>
    <rPh sb="2" eb="4">
      <t>デンワ</t>
    </rPh>
    <rPh sb="5" eb="7">
      <t>コクサイ</t>
    </rPh>
    <rPh sb="8" eb="10">
      <t>シヨウ</t>
    </rPh>
    <rPh sb="10" eb="11">
      <t>リョウ</t>
    </rPh>
    <phoneticPr fontId="2"/>
  </si>
  <si>
    <t>切手の購入、配達記録等の郵便代金</t>
    <rPh sb="0" eb="2">
      <t>キッテ</t>
    </rPh>
    <rPh sb="3" eb="5">
      <t>コウニュウ</t>
    </rPh>
    <rPh sb="6" eb="8">
      <t>ハイタツ</t>
    </rPh>
    <rPh sb="8" eb="10">
      <t>キロク</t>
    </rPh>
    <rPh sb="10" eb="11">
      <t>トウ</t>
    </rPh>
    <rPh sb="12" eb="14">
      <t>ユウビン</t>
    </rPh>
    <rPh sb="14" eb="16">
      <t>ダイキン</t>
    </rPh>
    <phoneticPr fontId="2"/>
  </si>
  <si>
    <t>その他、通信のためにかかった費用</t>
    <rPh sb="2" eb="3">
      <t>タ</t>
    </rPh>
    <rPh sb="4" eb="6">
      <t>ツウシン</t>
    </rPh>
    <rPh sb="14" eb="16">
      <t>ヒヨウ</t>
    </rPh>
    <phoneticPr fontId="2"/>
  </si>
  <si>
    <t>ポケットWIFI利用料金、ﾈｯﾄ接続料等</t>
    <rPh sb="8" eb="10">
      <t>リヨウ</t>
    </rPh>
    <rPh sb="10" eb="12">
      <t>リョウキン</t>
    </rPh>
    <rPh sb="16" eb="19">
      <t>セツゾクリョウ</t>
    </rPh>
    <rPh sb="19" eb="20">
      <t>トウ</t>
    </rPh>
    <phoneticPr fontId="2"/>
  </si>
  <si>
    <t>事務用品代、PC付属品、その他備品等の購入</t>
  </si>
  <si>
    <t>消耗品費</t>
    <rPh sb="0" eb="2">
      <t>ショウモウ</t>
    </rPh>
    <rPh sb="2" eb="3">
      <t>ヒン</t>
    </rPh>
    <rPh sb="3" eb="4">
      <t>ヒ</t>
    </rPh>
    <phoneticPr fontId="2"/>
  </si>
  <si>
    <t>日経新聞等の購読料</t>
    <rPh sb="0" eb="2">
      <t>ニッケイ</t>
    </rPh>
    <rPh sb="2" eb="4">
      <t>シンブン</t>
    </rPh>
    <rPh sb="4" eb="5">
      <t>トウ</t>
    </rPh>
    <rPh sb="6" eb="9">
      <t>コウドクリョウ</t>
    </rPh>
    <phoneticPr fontId="2"/>
  </si>
  <si>
    <t>参考書籍、雑誌等の購入費用</t>
    <rPh sb="0" eb="2">
      <t>サンコウ</t>
    </rPh>
    <phoneticPr fontId="2"/>
  </si>
  <si>
    <t>月刊誌等の雑誌購入費用</t>
    <rPh sb="0" eb="3">
      <t>ゲッカンシ</t>
    </rPh>
    <rPh sb="3" eb="4">
      <t>トウ</t>
    </rPh>
    <rPh sb="5" eb="7">
      <t>ザッシ</t>
    </rPh>
    <phoneticPr fontId="2"/>
  </si>
  <si>
    <t>書統計資料、官報等の購入費用</t>
    <rPh sb="10" eb="12">
      <t>コウニュウ</t>
    </rPh>
    <rPh sb="12" eb="14">
      <t>ヒヨウ</t>
    </rPh>
    <phoneticPr fontId="2"/>
  </si>
  <si>
    <t>収入印紙の購入</t>
    <rPh sb="0" eb="2">
      <t>シュウニュウ</t>
    </rPh>
    <phoneticPr fontId="2"/>
  </si>
  <si>
    <t>旅費交通費</t>
    <rPh sb="0" eb="2">
      <t>リョヒ</t>
    </rPh>
    <rPh sb="2" eb="5">
      <t>コウツウヒ</t>
    </rPh>
    <phoneticPr fontId="2"/>
  </si>
  <si>
    <t>ホテル代などの宿泊費</t>
    <rPh sb="3" eb="4">
      <t>ダイ</t>
    </rPh>
    <rPh sb="7" eb="10">
      <t>シュクハクヒ</t>
    </rPh>
    <phoneticPr fontId="2"/>
  </si>
  <si>
    <t>バス・電車、タクシー、飛行機などの利用交通費</t>
    <rPh sb="3" eb="5">
      <t>デンシャ</t>
    </rPh>
    <rPh sb="11" eb="14">
      <t>ヒコウキ</t>
    </rPh>
    <rPh sb="17" eb="19">
      <t>リヨウ</t>
    </rPh>
    <rPh sb="19" eb="22">
      <t>コウツウヒ</t>
    </rPh>
    <phoneticPr fontId="2"/>
  </si>
  <si>
    <t>社内行事（社員旅行など）に関連する経費</t>
    <rPh sb="0" eb="2">
      <t>シャナイ</t>
    </rPh>
    <rPh sb="2" eb="4">
      <t>ギョウジ</t>
    </rPh>
    <rPh sb="5" eb="7">
      <t>シャイン</t>
    </rPh>
    <rPh sb="7" eb="9">
      <t>リョコウ</t>
    </rPh>
    <rPh sb="13" eb="15">
      <t>カンレン</t>
    </rPh>
    <rPh sb="17" eb="19">
      <t>ケイヒ</t>
    </rPh>
    <phoneticPr fontId="2"/>
  </si>
  <si>
    <t>用途項目の選び方</t>
    <rPh sb="0" eb="2">
      <t>ヨウト</t>
    </rPh>
    <rPh sb="2" eb="4">
      <t>コウモク</t>
    </rPh>
    <rPh sb="5" eb="6">
      <t>エラ</t>
    </rPh>
    <rPh sb="7" eb="8">
      <t>カタ</t>
    </rPh>
    <phoneticPr fontId="2"/>
  </si>
  <si>
    <t>レクレーション補助金の申請</t>
    <rPh sb="9" eb="10">
      <t>キン</t>
    </rPh>
    <rPh sb="11" eb="13">
      <t>シンセイ</t>
    </rPh>
    <phoneticPr fontId="2"/>
  </si>
  <si>
    <t>支払先</t>
    <rPh sb="0" eb="2">
      <t>シハラ</t>
    </rPh>
    <rPh sb="2" eb="3">
      <t>サキ</t>
    </rPh>
    <phoneticPr fontId="2"/>
  </si>
  <si>
    <t>福利厚生費＿健康診断</t>
    <rPh sb="6" eb="10">
      <t>ケンコウシンダン</t>
    </rPh>
    <phoneticPr fontId="2"/>
  </si>
  <si>
    <t>健康診断</t>
    <rPh sb="0" eb="2">
      <t>ケンコウ</t>
    </rPh>
    <rPh sb="2" eb="4">
      <t>シンダン</t>
    </rPh>
    <phoneticPr fontId="2"/>
  </si>
  <si>
    <t>03</t>
    <phoneticPr fontId="2"/>
  </si>
  <si>
    <t>福利厚生費＿健康診断</t>
    <rPh sb="0" eb="4">
      <t>フクリコウセイ</t>
    </rPh>
    <rPh sb="4" eb="5">
      <t>ヒ</t>
    </rPh>
    <rPh sb="6" eb="8">
      <t>ケンコウ</t>
    </rPh>
    <rPh sb="8" eb="10">
      <t>シンダン</t>
    </rPh>
    <phoneticPr fontId="2"/>
  </si>
  <si>
    <t>健康診断料</t>
    <rPh sb="0" eb="2">
      <t>ケンコウ</t>
    </rPh>
    <rPh sb="2" eb="5">
      <t>シンダンリョウ</t>
    </rPh>
    <phoneticPr fontId="2"/>
  </si>
  <si>
    <t>サービス利用料など</t>
    <rPh sb="4" eb="6">
      <t>リヨウ</t>
    </rPh>
    <rPh sb="6" eb="7">
      <t>リョウ</t>
    </rPh>
    <phoneticPr fontId="2"/>
  </si>
  <si>
    <t>登記簿謄本、納税証明書など取得手数料等</t>
    <rPh sb="6" eb="8">
      <t>ノウゼイ</t>
    </rPh>
    <rPh sb="8" eb="11">
      <t>ショウメイショ</t>
    </rPh>
    <rPh sb="13" eb="15">
      <t>シュトク</t>
    </rPh>
    <rPh sb="15" eb="18">
      <t>テスウリョウ</t>
    </rPh>
    <rPh sb="18" eb="19">
      <t>ナド</t>
    </rPh>
    <phoneticPr fontId="2"/>
  </si>
  <si>
    <t>荷造運賃</t>
    <phoneticPr fontId="2"/>
  </si>
  <si>
    <t>[製]荷造運賃</t>
    <phoneticPr fontId="2"/>
  </si>
  <si>
    <t>100</t>
    <phoneticPr fontId="2"/>
  </si>
  <si>
    <t>160</t>
    <phoneticPr fontId="2"/>
  </si>
  <si>
    <t>もの発送料金（ゴルフバッグなど）</t>
    <rPh sb="2" eb="4">
      <t>ハッソウ</t>
    </rPh>
    <rPh sb="4" eb="6">
      <t>リョウキン</t>
    </rPh>
    <phoneticPr fontId="2"/>
  </si>
  <si>
    <t>060</t>
    <phoneticPr fontId="2"/>
  </si>
  <si>
    <t>他支払手数料</t>
    <rPh sb="0" eb="1">
      <t>タ</t>
    </rPh>
    <rPh sb="1" eb="3">
      <t>シハライ</t>
    </rPh>
    <rPh sb="3" eb="6">
      <t>テスウリョウ</t>
    </rPh>
    <phoneticPr fontId="2"/>
  </si>
  <si>
    <t>以下は主に管理部門で利用する用途項目</t>
    <rPh sb="0" eb="2">
      <t>イカ</t>
    </rPh>
    <rPh sb="3" eb="4">
      <t>オモ</t>
    </rPh>
    <rPh sb="5" eb="7">
      <t>カンリ</t>
    </rPh>
    <rPh sb="7" eb="9">
      <t>ブモン</t>
    </rPh>
    <rPh sb="10" eb="12">
      <t>リヨウ</t>
    </rPh>
    <rPh sb="14" eb="16">
      <t>ヨウト</t>
    </rPh>
    <rPh sb="16" eb="18">
      <t>コウモク</t>
    </rPh>
    <phoneticPr fontId="2"/>
  </si>
  <si>
    <t>商品発送料金</t>
    <rPh sb="0" eb="2">
      <t>ショウヒン</t>
    </rPh>
    <rPh sb="2" eb="4">
      <t>ハッソウ</t>
    </rPh>
    <rPh sb="4" eb="6">
      <t>リョウキン</t>
    </rPh>
    <phoneticPr fontId="2"/>
  </si>
  <si>
    <t>寮などの光熱費</t>
    <rPh sb="0" eb="1">
      <t>リョウ</t>
    </rPh>
    <rPh sb="4" eb="7">
      <t>コウネツヒ</t>
    </rPh>
    <phoneticPr fontId="2"/>
  </si>
  <si>
    <t>保険料支払</t>
    <rPh sb="0" eb="3">
      <t>ホケンリョウ</t>
    </rPh>
    <rPh sb="3" eb="5">
      <t>シハラ</t>
    </rPh>
    <phoneticPr fontId="2"/>
  </si>
  <si>
    <t>会費支払</t>
    <rPh sb="0" eb="2">
      <t>カイヒ</t>
    </rPh>
    <rPh sb="2" eb="4">
      <t>シハラ</t>
    </rPh>
    <phoneticPr fontId="2"/>
  </si>
  <si>
    <t>親会社などへの立替金</t>
    <rPh sb="0" eb="3">
      <t>オヤガイシャ</t>
    </rPh>
    <rPh sb="7" eb="10">
      <t>タテカエキン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</si>
</sst>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0000"/>
    <numFmt numFmtId="177" formatCode="[$-411]ggge&quot;年&quot;m&quot;月&quot;d&quot;日&quot;;@"/>
    <numFmt numFmtId="178" formatCode="yyyy/mm/dd"/>
    <numFmt numFmtId="179" formatCode="yyyy&quot;年&quot;m&quot;月&quot;d&quot;日&quot;;@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82">
    <xf numFmtId="0" fontId="0" fillId="0" borderId="0" xfId="0"/>
    <xf numFmtId="0" fontId="3" fillId="0" borderId="0" xfId="0" applyFont="1"/>
    <xf numFmtId="0" fontId="3" fillId="0" borderId="1" xfId="0" applyFont="1" applyBorder="1"/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5" fillId="0" borderId="3" xfId="0" applyFont="1" applyBorder="1" applyAlignment="1">
      <alignment horizont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Alignment="1">
      <alignment horizontal="centerContinuous"/>
    </xf>
    <xf numFmtId="0" fontId="5" fillId="0" borderId="2" xfId="0" applyFont="1" applyBorder="1" applyAlignment="1">
      <alignment horizontal="centerContinuous"/>
    </xf>
    <xf numFmtId="38" fontId="5" fillId="0" borderId="0" xfId="1" applyFont="1" applyBorder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locked="0"/>
    </xf>
    <xf numFmtId="38" fontId="9" fillId="0" borderId="0" xfId="1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textRotation="255"/>
    </xf>
    <xf numFmtId="0" fontId="3" fillId="0" borderId="12" xfId="0" applyFont="1" applyBorder="1"/>
    <xf numFmtId="0" fontId="5" fillId="0" borderId="12" xfId="0" applyFont="1" applyBorder="1" applyAlignment="1">
      <alignment horizontal="centerContinuous"/>
    </xf>
    <xf numFmtId="0" fontId="3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11" fillId="0" borderId="0" xfId="0" applyFont="1" applyAlignment="1">
      <alignment shrinkToFit="1"/>
    </xf>
    <xf numFmtId="0" fontId="11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78" fontId="3" fillId="0" borderId="0" xfId="0" applyNumberFormat="1" applyFont="1"/>
    <xf numFmtId="178" fontId="3" fillId="0" borderId="13" xfId="0" applyNumberFormat="1" applyFont="1" applyBorder="1"/>
    <xf numFmtId="0" fontId="3" fillId="5" borderId="16" xfId="0" applyFont="1" applyFill="1" applyBorder="1" applyAlignment="1">
      <alignment vertical="center"/>
    </xf>
    <xf numFmtId="0" fontId="3" fillId="5" borderId="16" xfId="0" applyFont="1" applyFill="1" applyBorder="1" applyAlignment="1">
      <alignment vertical="center" wrapText="1"/>
    </xf>
    <xf numFmtId="178" fontId="3" fillId="5" borderId="16" xfId="0" applyNumberFormat="1" applyFont="1" applyFill="1" applyBorder="1" applyAlignment="1">
      <alignment vertical="center" wrapText="1"/>
    </xf>
    <xf numFmtId="178" fontId="3" fillId="6" borderId="16" xfId="0" applyNumberFormat="1" applyFont="1" applyFill="1" applyBorder="1" applyAlignment="1">
      <alignment vertical="center" wrapText="1"/>
    </xf>
    <xf numFmtId="0" fontId="3" fillId="6" borderId="1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15" fillId="3" borderId="16" xfId="0" applyFont="1" applyFill="1" applyBorder="1"/>
    <xf numFmtId="0" fontId="15" fillId="3" borderId="16" xfId="0" applyFont="1" applyFill="1" applyBorder="1" applyAlignment="1">
      <alignment horizontal="center"/>
    </xf>
    <xf numFmtId="49" fontId="15" fillId="3" borderId="16" xfId="0" applyNumberFormat="1" applyFont="1" applyFill="1" applyBorder="1" applyAlignment="1">
      <alignment horizontal="center"/>
    </xf>
    <xf numFmtId="0" fontId="15" fillId="0" borderId="17" xfId="0" applyFont="1" applyBorder="1"/>
    <xf numFmtId="49" fontId="15" fillId="2" borderId="17" xfId="0" applyNumberFormat="1" applyFont="1" applyFill="1" applyBorder="1" applyAlignment="1">
      <alignment horizontal="center"/>
    </xf>
    <xf numFmtId="49" fontId="15" fillId="0" borderId="17" xfId="0" applyNumberFormat="1" applyFont="1" applyBorder="1" applyAlignment="1">
      <alignment horizontal="center"/>
    </xf>
    <xf numFmtId="49" fontId="15" fillId="0" borderId="17" xfId="0" quotePrefix="1" applyNumberFormat="1" applyFont="1" applyBorder="1" applyAlignment="1">
      <alignment horizontal="center"/>
    </xf>
    <xf numFmtId="0" fontId="15" fillId="0" borderId="17" xfId="0" quotePrefix="1" applyFont="1" applyBorder="1"/>
    <xf numFmtId="0" fontId="15" fillId="0" borderId="1" xfId="0" applyFont="1" applyBorder="1"/>
    <xf numFmtId="49" fontId="15" fillId="2" borderId="1" xfId="0" applyNumberFormat="1" applyFont="1" applyFill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5" fillId="0" borderId="1" xfId="0" quotePrefix="1" applyNumberFormat="1" applyFont="1" applyBorder="1" applyAlignment="1">
      <alignment horizontal="center"/>
    </xf>
    <xf numFmtId="0" fontId="3" fillId="0" borderId="18" xfId="0" applyFont="1" applyBorder="1"/>
    <xf numFmtId="178" fontId="3" fillId="0" borderId="18" xfId="0" applyNumberFormat="1" applyFont="1" applyBorder="1"/>
    <xf numFmtId="14" fontId="0" fillId="0" borderId="0" xfId="0" applyNumberFormat="1" applyAlignment="1">
      <alignment horizontal="center"/>
    </xf>
    <xf numFmtId="0" fontId="15" fillId="0" borderId="19" xfId="0" applyFont="1" applyBorder="1"/>
    <xf numFmtId="0" fontId="15" fillId="8" borderId="1" xfId="0" applyFont="1" applyFill="1" applyBorder="1"/>
    <xf numFmtId="0" fontId="15" fillId="0" borderId="20" xfId="0" applyFont="1" applyBorder="1"/>
    <xf numFmtId="0" fontId="15" fillId="0" borderId="18" xfId="0" applyFont="1" applyBorder="1"/>
    <xf numFmtId="0" fontId="10" fillId="0" borderId="0" xfId="0" applyFont="1"/>
    <xf numFmtId="0" fontId="15" fillId="0" borderId="21" xfId="0" applyFont="1" applyBorder="1"/>
    <xf numFmtId="0" fontId="0" fillId="0" borderId="2" xfId="0" applyBorder="1"/>
    <xf numFmtId="0" fontId="0" fillId="0" borderId="8" xfId="0" applyBorder="1"/>
    <xf numFmtId="0" fontId="15" fillId="0" borderId="5" xfId="0" applyFont="1" applyBorder="1"/>
    <xf numFmtId="0" fontId="15" fillId="0" borderId="2" xfId="0" applyFont="1" applyBorder="1"/>
    <xf numFmtId="0" fontId="0" fillId="0" borderId="1" xfId="0" applyBorder="1"/>
    <xf numFmtId="0" fontId="0" fillId="0" borderId="20" xfId="0" applyBorder="1"/>
    <xf numFmtId="0" fontId="5" fillId="4" borderId="2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Protection="1">
      <protection locked="0"/>
    </xf>
    <xf numFmtId="0" fontId="5" fillId="2" borderId="27" xfId="0" applyFont="1" applyFill="1" applyBorder="1" applyProtection="1">
      <protection locked="0"/>
    </xf>
    <xf numFmtId="0" fontId="5" fillId="2" borderId="28" xfId="0" applyFont="1" applyFill="1" applyBorder="1" applyProtection="1">
      <protection locked="0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2" borderId="22" xfId="0" applyNumberFormat="1" applyFont="1" applyFill="1" applyBorder="1" applyAlignment="1" applyProtection="1">
      <alignment horizontal="center" vertical="center"/>
      <protection locked="0"/>
    </xf>
    <xf numFmtId="14" fontId="5" fillId="2" borderId="12" xfId="0" applyNumberFormat="1" applyFont="1" applyFill="1" applyBorder="1" applyAlignment="1" applyProtection="1">
      <alignment horizontal="center" vertical="center"/>
      <protection locked="0"/>
    </xf>
    <xf numFmtId="14" fontId="5" fillId="2" borderId="10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58" fontId="5" fillId="2" borderId="4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3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shrinkToFit="1"/>
    </xf>
    <xf numFmtId="0" fontId="5" fillId="4" borderId="12" xfId="0" applyFont="1" applyFill="1" applyBorder="1" applyAlignment="1">
      <alignment horizontal="center" shrinkToFit="1"/>
    </xf>
    <xf numFmtId="0" fontId="5" fillId="4" borderId="10" xfId="0" applyFont="1" applyFill="1" applyBorder="1" applyAlignment="1">
      <alignment horizontal="center" shrinkToFit="1"/>
    </xf>
    <xf numFmtId="0" fontId="5" fillId="0" borderId="7" xfId="0" applyFont="1" applyBorder="1" applyAlignment="1">
      <alignment horizontal="center"/>
    </xf>
    <xf numFmtId="0" fontId="5" fillId="0" borderId="23" xfId="0" applyFont="1" applyBorder="1"/>
    <xf numFmtId="0" fontId="5" fillId="0" borderId="25" xfId="0" applyFont="1" applyBorder="1"/>
    <xf numFmtId="0" fontId="5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3" xfId="0" applyFont="1" applyFill="1" applyBorder="1" applyAlignment="1" applyProtection="1">
      <alignment horizontal="center" vertical="center" shrinkToFit="1"/>
      <protection locked="0"/>
    </xf>
    <xf numFmtId="0" fontId="5" fillId="2" borderId="5" xfId="0" applyFont="1" applyFill="1" applyBorder="1" applyAlignment="1" applyProtection="1">
      <alignment horizontal="center" vertical="center" shrinkToFit="1"/>
      <protection locked="0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2" borderId="23" xfId="0" applyFont="1" applyFill="1" applyBorder="1" applyProtection="1">
      <protection locked="0"/>
    </xf>
    <xf numFmtId="0" fontId="5" fillId="2" borderId="24" xfId="0" applyFont="1" applyFill="1" applyBorder="1" applyProtection="1">
      <protection locked="0"/>
    </xf>
    <xf numFmtId="0" fontId="5" fillId="2" borderId="25" xfId="0" applyFont="1" applyFill="1" applyBorder="1" applyProtection="1"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38" fontId="10" fillId="0" borderId="4" xfId="1" applyFont="1" applyBorder="1" applyAlignment="1">
      <alignment horizontal="center" vertical="center"/>
    </xf>
    <xf numFmtId="38" fontId="10" fillId="0" borderId="3" xfId="1" applyFont="1" applyBorder="1" applyAlignment="1">
      <alignment horizontal="center" vertical="center"/>
    </xf>
    <xf numFmtId="38" fontId="10" fillId="0" borderId="5" xfId="1" applyFont="1" applyBorder="1" applyAlignment="1">
      <alignment horizontal="center" vertical="center"/>
    </xf>
    <xf numFmtId="38" fontId="10" fillId="0" borderId="6" xfId="1" applyFont="1" applyBorder="1" applyAlignment="1">
      <alignment horizontal="center" vertical="center"/>
    </xf>
    <xf numFmtId="38" fontId="10" fillId="0" borderId="7" xfId="1" applyFont="1" applyBorder="1" applyAlignment="1">
      <alignment horizontal="center" vertical="center"/>
    </xf>
    <xf numFmtId="38" fontId="10" fillId="0" borderId="8" xfId="1" applyFont="1" applyBorder="1" applyAlignment="1">
      <alignment horizontal="center" vertical="center"/>
    </xf>
    <xf numFmtId="38" fontId="5" fillId="0" borderId="23" xfId="1" applyFont="1" applyBorder="1" applyAlignment="1">
      <alignment horizontal="center"/>
    </xf>
    <xf numFmtId="38" fontId="5" fillId="0" borderId="24" xfId="1" applyFont="1" applyBorder="1" applyAlignment="1">
      <alignment horizontal="center"/>
    </xf>
    <xf numFmtId="38" fontId="5" fillId="0" borderId="25" xfId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22" xfId="0" applyFont="1" applyFill="1" applyBorder="1" applyProtection="1">
      <protection locked="0"/>
    </xf>
    <xf numFmtId="0" fontId="5" fillId="2" borderId="12" xfId="0" applyFont="1" applyFill="1" applyBorder="1" applyProtection="1">
      <protection locked="0"/>
    </xf>
    <xf numFmtId="0" fontId="5" fillId="2" borderId="10" xfId="0" applyFont="1" applyFill="1" applyBorder="1" applyProtection="1">
      <protection locked="0"/>
    </xf>
    <xf numFmtId="0" fontId="5" fillId="0" borderId="9" xfId="0" applyFont="1" applyBorder="1"/>
    <xf numFmtId="0" fontId="5" fillId="0" borderId="0" xfId="0" applyFont="1"/>
    <xf numFmtId="0" fontId="5" fillId="0" borderId="2" xfId="0" applyFont="1" applyBorder="1"/>
    <xf numFmtId="0" fontId="5" fillId="2" borderId="32" xfId="0" applyFont="1" applyFill="1" applyBorder="1" applyProtection="1">
      <protection locked="0"/>
    </xf>
    <xf numFmtId="0" fontId="5" fillId="2" borderId="33" xfId="0" applyFont="1" applyFill="1" applyBorder="1" applyProtection="1">
      <protection locked="0"/>
    </xf>
    <xf numFmtId="0" fontId="5" fillId="2" borderId="34" xfId="0" applyFont="1" applyFill="1" applyBorder="1" applyProtection="1">
      <protection locked="0"/>
    </xf>
    <xf numFmtId="0" fontId="5" fillId="0" borderId="22" xfId="0" applyFont="1" applyBorder="1"/>
    <xf numFmtId="0" fontId="5" fillId="0" borderId="12" xfId="0" applyFont="1" applyBorder="1"/>
    <xf numFmtId="0" fontId="5" fillId="0" borderId="10" xfId="0" applyFont="1" applyBorder="1"/>
    <xf numFmtId="41" fontId="8" fillId="2" borderId="4" xfId="1" applyNumberFormat="1" applyFont="1" applyFill="1" applyBorder="1" applyAlignment="1" applyProtection="1">
      <alignment vertical="center"/>
      <protection locked="0"/>
    </xf>
    <xf numFmtId="41" fontId="8" fillId="2" borderId="3" xfId="1" applyNumberFormat="1" applyFont="1" applyFill="1" applyBorder="1" applyAlignment="1" applyProtection="1">
      <alignment vertical="center"/>
      <protection locked="0"/>
    </xf>
    <xf numFmtId="41" fontId="8" fillId="2" borderId="5" xfId="1" applyNumberFormat="1" applyFont="1" applyFill="1" applyBorder="1" applyAlignment="1" applyProtection="1">
      <alignment vertical="center"/>
      <protection locked="0"/>
    </xf>
    <xf numFmtId="41" fontId="8" fillId="2" borderId="9" xfId="1" applyNumberFormat="1" applyFont="1" applyFill="1" applyBorder="1" applyAlignment="1" applyProtection="1">
      <alignment vertical="center"/>
      <protection locked="0"/>
    </xf>
    <xf numFmtId="41" fontId="8" fillId="2" borderId="0" xfId="1" applyNumberFormat="1" applyFont="1" applyFill="1" applyBorder="1" applyAlignment="1" applyProtection="1">
      <alignment vertical="center"/>
      <protection locked="0"/>
    </xf>
    <xf numFmtId="41" fontId="8" fillId="2" borderId="2" xfId="1" applyNumberFormat="1" applyFont="1" applyFill="1" applyBorder="1" applyAlignment="1" applyProtection="1">
      <alignment vertical="center"/>
      <protection locked="0"/>
    </xf>
    <xf numFmtId="41" fontId="8" fillId="2" borderId="6" xfId="1" applyNumberFormat="1" applyFont="1" applyFill="1" applyBorder="1" applyAlignment="1" applyProtection="1">
      <alignment vertical="center"/>
      <protection locked="0"/>
    </xf>
    <xf numFmtId="41" fontId="8" fillId="2" borderId="7" xfId="1" applyNumberFormat="1" applyFont="1" applyFill="1" applyBorder="1" applyAlignment="1" applyProtection="1">
      <alignment vertical="center"/>
      <protection locked="0"/>
    </xf>
    <xf numFmtId="41" fontId="8" fillId="2" borderId="8" xfId="1" applyNumberFormat="1" applyFont="1" applyFill="1" applyBorder="1" applyAlignment="1" applyProtection="1">
      <alignment vertical="center"/>
      <protection locked="0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2" borderId="4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0" fontId="5" fillId="0" borderId="3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2" borderId="29" xfId="0" applyFont="1" applyFill="1" applyBorder="1" applyProtection="1">
      <protection locked="0"/>
    </xf>
    <xf numFmtId="0" fontId="5" fillId="2" borderId="30" xfId="0" applyFont="1" applyFill="1" applyBorder="1" applyProtection="1">
      <protection locked="0"/>
    </xf>
    <xf numFmtId="0" fontId="7" fillId="0" borderId="0" xfId="0" applyFont="1" applyAlignment="1">
      <alignment horizont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2" borderId="29" xfId="0" quotePrefix="1" applyFont="1" applyFill="1" applyBorder="1" applyProtection="1">
      <protection locked="0"/>
    </xf>
    <xf numFmtId="58" fontId="5" fillId="0" borderId="4" xfId="0" applyNumberFormat="1" applyFont="1" applyBorder="1" applyAlignment="1">
      <alignment horizontal="center" vertical="center"/>
    </xf>
    <xf numFmtId="58" fontId="5" fillId="0" borderId="3" xfId="0" applyNumberFormat="1" applyFont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58" fontId="5" fillId="0" borderId="9" xfId="0" applyNumberFormat="1" applyFont="1" applyBorder="1" applyAlignment="1">
      <alignment horizontal="center" vertical="center"/>
    </xf>
    <xf numFmtId="58" fontId="5" fillId="0" borderId="0" xfId="0" applyNumberFormat="1" applyFont="1" applyAlignment="1">
      <alignment horizontal="center" vertical="center"/>
    </xf>
    <xf numFmtId="58" fontId="5" fillId="0" borderId="2" xfId="0" applyNumberFormat="1" applyFont="1" applyBorder="1" applyAlignment="1">
      <alignment horizontal="center" vertical="center"/>
    </xf>
    <xf numFmtId="58" fontId="5" fillId="0" borderId="6" xfId="0" applyNumberFormat="1" applyFont="1" applyBorder="1" applyAlignment="1">
      <alignment horizontal="center" vertical="center"/>
    </xf>
    <xf numFmtId="58" fontId="5" fillId="0" borderId="7" xfId="0" applyNumberFormat="1" applyFont="1" applyBorder="1" applyAlignment="1">
      <alignment horizontal="center" vertical="center"/>
    </xf>
    <xf numFmtId="58" fontId="5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2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8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shrinkToFi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0" xfId="0" applyNumberFormat="1" applyFont="1" applyFill="1" applyAlignment="1" applyProtection="1">
      <alignment horizontal="center" vertical="center" wrapText="1"/>
      <protection locked="0"/>
    </xf>
    <xf numFmtId="176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6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8" xfId="0" applyNumberFormat="1" applyFont="1" applyFill="1" applyBorder="1" applyAlignment="1" applyProtection="1">
      <alignment horizontal="center" vertical="center" wrapText="1"/>
      <protection locked="0"/>
    </xf>
    <xf numFmtId="58" fontId="5" fillId="2" borderId="22" xfId="0" applyNumberFormat="1" applyFont="1" applyFill="1" applyBorder="1" applyAlignment="1" applyProtection="1">
      <alignment horizontal="center" vertical="center"/>
      <protection locked="0"/>
    </xf>
    <xf numFmtId="58" fontId="5" fillId="2" borderId="12" xfId="0" applyNumberFormat="1" applyFont="1" applyFill="1" applyBorder="1" applyAlignment="1" applyProtection="1">
      <alignment horizontal="center" vertical="center"/>
      <protection locked="0"/>
    </xf>
    <xf numFmtId="58" fontId="5" fillId="2" borderId="10" xfId="0" applyNumberFormat="1" applyFont="1" applyFill="1" applyBorder="1" applyAlignment="1" applyProtection="1">
      <alignment horizontal="center" vertical="center"/>
      <protection locked="0"/>
    </xf>
    <xf numFmtId="38" fontId="9" fillId="0" borderId="4" xfId="1" applyFont="1" applyBorder="1" applyAlignment="1">
      <alignment horizontal="center" vertical="center"/>
    </xf>
    <xf numFmtId="38" fontId="9" fillId="0" borderId="3" xfId="1" applyFont="1" applyBorder="1" applyAlignment="1">
      <alignment horizontal="center" vertical="center"/>
    </xf>
    <xf numFmtId="38" fontId="9" fillId="0" borderId="5" xfId="1" applyFont="1" applyBorder="1" applyAlignment="1">
      <alignment horizontal="center" vertical="center"/>
    </xf>
    <xf numFmtId="38" fontId="9" fillId="0" borderId="6" xfId="1" applyFont="1" applyBorder="1" applyAlignment="1">
      <alignment horizontal="center" vertical="center"/>
    </xf>
    <xf numFmtId="38" fontId="9" fillId="0" borderId="7" xfId="1" applyFont="1" applyBorder="1" applyAlignment="1">
      <alignment horizontal="center" vertical="center"/>
    </xf>
    <xf numFmtId="38" fontId="9" fillId="0" borderId="8" xfId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49" fontId="5" fillId="2" borderId="4" xfId="0" applyNumberFormat="1" applyFont="1" applyFill="1" applyBorder="1" applyAlignment="1" applyProtection="1">
      <alignment horizontal="center" vertical="center"/>
      <protection locked="0"/>
    </xf>
    <xf numFmtId="49" fontId="5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2" borderId="5" xfId="0" applyNumberFormat="1" applyFont="1" applyFill="1" applyBorder="1" applyAlignment="1" applyProtection="1">
      <alignment horizontal="center" vertical="center"/>
      <protection locked="0"/>
    </xf>
    <xf numFmtId="49" fontId="5" fillId="2" borderId="6" xfId="0" applyNumberFormat="1" applyFont="1" applyFill="1" applyBorder="1" applyAlignment="1" applyProtection="1">
      <alignment horizontal="center" vertical="center"/>
      <protection locked="0"/>
    </xf>
    <xf numFmtId="49" fontId="5" fillId="2" borderId="7" xfId="0" applyNumberFormat="1" applyFont="1" applyFill="1" applyBorder="1" applyAlignment="1" applyProtection="1">
      <alignment horizontal="center" vertical="center"/>
      <protection locked="0"/>
    </xf>
    <xf numFmtId="49" fontId="5" fillId="2" borderId="8" xfId="0" applyNumberFormat="1" applyFont="1" applyFill="1" applyBorder="1" applyAlignment="1" applyProtection="1">
      <alignment horizontal="center" vertical="center"/>
      <protection locked="0"/>
    </xf>
    <xf numFmtId="176" fontId="5" fillId="2" borderId="4" xfId="0" applyNumberFormat="1" applyFont="1" applyFill="1" applyBorder="1" applyAlignment="1" applyProtection="1">
      <alignment horizontal="center" vertical="center"/>
      <protection locked="0"/>
    </xf>
    <xf numFmtId="176" fontId="5" fillId="2" borderId="3" xfId="0" applyNumberFormat="1" applyFont="1" applyFill="1" applyBorder="1" applyAlignment="1" applyProtection="1">
      <alignment horizontal="center" vertical="center"/>
      <protection locked="0"/>
    </xf>
    <xf numFmtId="176" fontId="5" fillId="2" borderId="5" xfId="0" applyNumberFormat="1" applyFont="1" applyFill="1" applyBorder="1" applyAlignment="1" applyProtection="1">
      <alignment horizontal="center" vertical="center"/>
      <protection locked="0"/>
    </xf>
    <xf numFmtId="176" fontId="5" fillId="2" borderId="9" xfId="0" applyNumberFormat="1" applyFont="1" applyFill="1" applyBorder="1" applyAlignment="1" applyProtection="1">
      <alignment horizontal="center" vertical="center"/>
      <protection locked="0"/>
    </xf>
    <xf numFmtId="176" fontId="5" fillId="2" borderId="0" xfId="0" applyNumberFormat="1" applyFont="1" applyFill="1" applyAlignment="1" applyProtection="1">
      <alignment horizontal="center" vertical="center"/>
      <protection locked="0"/>
    </xf>
    <xf numFmtId="176" fontId="5" fillId="2" borderId="2" xfId="0" applyNumberFormat="1" applyFont="1" applyFill="1" applyBorder="1" applyAlignment="1" applyProtection="1">
      <alignment horizontal="center" vertical="center"/>
      <protection locked="0"/>
    </xf>
    <xf numFmtId="176" fontId="5" fillId="2" borderId="6" xfId="0" applyNumberFormat="1" applyFont="1" applyFill="1" applyBorder="1" applyAlignment="1" applyProtection="1">
      <alignment horizontal="center" vertical="center"/>
      <protection locked="0"/>
    </xf>
    <xf numFmtId="176" fontId="5" fillId="2" borderId="7" xfId="0" applyNumberFormat="1" applyFont="1" applyFill="1" applyBorder="1" applyAlignment="1" applyProtection="1">
      <alignment horizontal="center" vertical="center"/>
      <protection locked="0"/>
    </xf>
    <xf numFmtId="176" fontId="5" fillId="2" borderId="8" xfId="0" applyNumberFormat="1" applyFont="1" applyFill="1" applyBorder="1" applyAlignment="1" applyProtection="1">
      <alignment horizontal="center" vertical="center"/>
      <protection locked="0"/>
    </xf>
    <xf numFmtId="177" fontId="5" fillId="2" borderId="23" xfId="0" applyNumberFormat="1" applyFont="1" applyFill="1" applyBorder="1" applyAlignment="1" applyProtection="1">
      <alignment horizontal="center" vertical="center"/>
      <protection locked="0"/>
    </xf>
    <xf numFmtId="177" fontId="5" fillId="2" borderId="24" xfId="0" applyNumberFormat="1" applyFont="1" applyFill="1" applyBorder="1" applyAlignment="1" applyProtection="1">
      <alignment horizontal="center" vertical="center"/>
      <protection locked="0"/>
    </xf>
    <xf numFmtId="177" fontId="5" fillId="2" borderId="25" xfId="0" applyNumberFormat="1" applyFont="1" applyFill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58522</xdr:colOff>
      <xdr:row>51</xdr:row>
      <xdr:rowOff>80467</xdr:rowOff>
    </xdr:from>
    <xdr:to>
      <xdr:col>11</xdr:col>
      <xdr:colOff>124358</xdr:colOff>
      <xdr:row>51</xdr:row>
      <xdr:rowOff>80467</xdr:rowOff>
    </xdr:to>
    <xdr:sp macro="" textlink="">
      <xdr:nvSpPr>
        <xdr:cNvPr id="15505" name="Line 2">
          <a:extLst>
            <a:ext uri="{FF2B5EF4-FFF2-40B4-BE49-F238E27FC236}">
              <a16:creationId xmlns:a16="http://schemas.microsoft.com/office/drawing/2014/main" id="{00000000-0008-0000-0000-0000913C0000}"/>
            </a:ext>
          </a:extLst>
        </xdr:cNvPr>
        <xdr:cNvSpPr>
          <a:spLocks noChangeShapeType="1"/>
        </xdr:cNvSpPr>
      </xdr:nvSpPr>
      <xdr:spPr bwMode="auto">
        <a:xfrm>
          <a:off x="672998" y="9392717"/>
          <a:ext cx="170444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58522</xdr:colOff>
      <xdr:row>51</xdr:row>
      <xdr:rowOff>80467</xdr:rowOff>
    </xdr:from>
    <xdr:to>
      <xdr:col>21</xdr:col>
      <xdr:colOff>124358</xdr:colOff>
      <xdr:row>51</xdr:row>
      <xdr:rowOff>80467</xdr:rowOff>
    </xdr:to>
    <xdr:sp macro="" textlink="">
      <xdr:nvSpPr>
        <xdr:cNvPr id="15506" name="Line 3">
          <a:extLst>
            <a:ext uri="{FF2B5EF4-FFF2-40B4-BE49-F238E27FC236}">
              <a16:creationId xmlns:a16="http://schemas.microsoft.com/office/drawing/2014/main" id="{00000000-0008-0000-0000-0000923C0000}"/>
            </a:ext>
          </a:extLst>
        </xdr:cNvPr>
        <xdr:cNvSpPr>
          <a:spLocks noChangeShapeType="1"/>
        </xdr:cNvSpPr>
      </xdr:nvSpPr>
      <xdr:spPr bwMode="auto">
        <a:xfrm>
          <a:off x="3145536" y="9392717"/>
          <a:ext cx="170444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58522</xdr:colOff>
      <xdr:row>51</xdr:row>
      <xdr:rowOff>80467</xdr:rowOff>
    </xdr:from>
    <xdr:to>
      <xdr:col>32</xdr:col>
      <xdr:colOff>124358</xdr:colOff>
      <xdr:row>51</xdr:row>
      <xdr:rowOff>80467</xdr:rowOff>
    </xdr:to>
    <xdr:sp macro="" textlink="">
      <xdr:nvSpPr>
        <xdr:cNvPr id="15507" name="Line 4">
          <a:extLst>
            <a:ext uri="{FF2B5EF4-FFF2-40B4-BE49-F238E27FC236}">
              <a16:creationId xmlns:a16="http://schemas.microsoft.com/office/drawing/2014/main" id="{00000000-0008-0000-0000-0000933C0000}"/>
            </a:ext>
          </a:extLst>
        </xdr:cNvPr>
        <xdr:cNvSpPr>
          <a:spLocks noChangeShapeType="1"/>
        </xdr:cNvSpPr>
      </xdr:nvSpPr>
      <xdr:spPr bwMode="auto">
        <a:xfrm>
          <a:off x="5398618" y="9392717"/>
          <a:ext cx="170444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7620</xdr:rowOff>
        </xdr:from>
        <xdr:to>
          <xdr:col>23</xdr:col>
          <xdr:colOff>190500</xdr:colOff>
          <xdr:row>11</xdr:row>
          <xdr:rowOff>7620</xdr:rowOff>
        </xdr:to>
        <xdr:sp macro="" textlink="">
          <xdr:nvSpPr>
            <xdr:cNvPr id="6145" name="ComboBox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7620</xdr:rowOff>
        </xdr:from>
        <xdr:to>
          <xdr:col>23</xdr:col>
          <xdr:colOff>190500</xdr:colOff>
          <xdr:row>23</xdr:row>
          <xdr:rowOff>7620</xdr:rowOff>
        </xdr:to>
        <xdr:sp macro="" textlink="">
          <xdr:nvSpPr>
            <xdr:cNvPr id="6149" name="ComboBox2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7620</xdr:rowOff>
        </xdr:from>
        <xdr:to>
          <xdr:col>23</xdr:col>
          <xdr:colOff>190500</xdr:colOff>
          <xdr:row>35</xdr:row>
          <xdr:rowOff>7620</xdr:rowOff>
        </xdr:to>
        <xdr:sp macro="" textlink="">
          <xdr:nvSpPr>
            <xdr:cNvPr id="6150" name="ComboBox3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51206</xdr:colOff>
      <xdr:row>51</xdr:row>
      <xdr:rowOff>80467</xdr:rowOff>
    </xdr:from>
    <xdr:to>
      <xdr:col>12</xdr:col>
      <xdr:colOff>117043</xdr:colOff>
      <xdr:row>51</xdr:row>
      <xdr:rowOff>80467</xdr:rowOff>
    </xdr:to>
    <xdr:sp macro="" textlink="">
      <xdr:nvSpPr>
        <xdr:cNvPr id="14866" name="Line 2">
          <a:extLst>
            <a:ext uri="{FF2B5EF4-FFF2-40B4-BE49-F238E27FC236}">
              <a16:creationId xmlns:a16="http://schemas.microsoft.com/office/drawing/2014/main" id="{00000000-0008-0000-0100-0000123A0000}"/>
            </a:ext>
          </a:extLst>
        </xdr:cNvPr>
        <xdr:cNvSpPr>
          <a:spLocks noChangeShapeType="1"/>
        </xdr:cNvSpPr>
      </xdr:nvSpPr>
      <xdr:spPr bwMode="auto">
        <a:xfrm>
          <a:off x="1762963" y="9348826"/>
          <a:ext cx="15873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51206</xdr:colOff>
      <xdr:row>51</xdr:row>
      <xdr:rowOff>80467</xdr:rowOff>
    </xdr:from>
    <xdr:to>
      <xdr:col>22</xdr:col>
      <xdr:colOff>117043</xdr:colOff>
      <xdr:row>51</xdr:row>
      <xdr:rowOff>80467</xdr:rowOff>
    </xdr:to>
    <xdr:sp macro="" textlink="">
      <xdr:nvSpPr>
        <xdr:cNvPr id="14867" name="Line 3">
          <a:extLst>
            <a:ext uri="{FF2B5EF4-FFF2-40B4-BE49-F238E27FC236}">
              <a16:creationId xmlns:a16="http://schemas.microsoft.com/office/drawing/2014/main" id="{00000000-0008-0000-0100-0000133A0000}"/>
            </a:ext>
          </a:extLst>
        </xdr:cNvPr>
        <xdr:cNvSpPr>
          <a:spLocks noChangeShapeType="1"/>
        </xdr:cNvSpPr>
      </xdr:nvSpPr>
      <xdr:spPr bwMode="auto">
        <a:xfrm>
          <a:off x="3664915" y="9348826"/>
          <a:ext cx="15873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51206</xdr:colOff>
      <xdr:row>51</xdr:row>
      <xdr:rowOff>80467</xdr:rowOff>
    </xdr:from>
    <xdr:to>
      <xdr:col>33</xdr:col>
      <xdr:colOff>117043</xdr:colOff>
      <xdr:row>51</xdr:row>
      <xdr:rowOff>80467</xdr:rowOff>
    </xdr:to>
    <xdr:sp macro="" textlink="">
      <xdr:nvSpPr>
        <xdr:cNvPr id="14868" name="Line 4">
          <a:extLst>
            <a:ext uri="{FF2B5EF4-FFF2-40B4-BE49-F238E27FC236}">
              <a16:creationId xmlns:a16="http://schemas.microsoft.com/office/drawing/2014/main" id="{00000000-0008-0000-0100-0000143A0000}"/>
            </a:ext>
          </a:extLst>
        </xdr:cNvPr>
        <xdr:cNvSpPr>
          <a:spLocks noChangeShapeType="1"/>
        </xdr:cNvSpPr>
      </xdr:nvSpPr>
      <xdr:spPr bwMode="auto">
        <a:xfrm>
          <a:off x="5757062" y="9348826"/>
          <a:ext cx="15873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123520</xdr:colOff>
      <xdr:row>1</xdr:row>
      <xdr:rowOff>240030</xdr:rowOff>
    </xdr:from>
    <xdr:to>
      <xdr:col>42</xdr:col>
      <xdr:colOff>45420</xdr:colOff>
      <xdr:row>5</xdr:row>
      <xdr:rowOff>76249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/>
        </xdr:cNvSpPr>
      </xdr:nvSpPr>
      <xdr:spPr bwMode="auto">
        <a:xfrm>
          <a:off x="8524875" y="400050"/>
          <a:ext cx="914400" cy="609600"/>
        </a:xfrm>
        <a:prstGeom prst="borderCallout2">
          <a:avLst>
            <a:gd name="adj1" fmla="val 18750"/>
            <a:gd name="adj2" fmla="val -8333"/>
            <a:gd name="adj3" fmla="val 18750"/>
            <a:gd name="adj4" fmla="val -236458"/>
            <a:gd name="adj5" fmla="val 67190"/>
            <a:gd name="adj6" fmla="val -418750"/>
          </a:avLst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起票者の所属部門、社員番号、氏名を入力して下さい。</a:t>
          </a:r>
        </a:p>
      </xdr:txBody>
    </xdr:sp>
    <xdr:clientData/>
  </xdr:twoCellAnchor>
  <xdr:twoCellAnchor>
    <xdr:from>
      <xdr:col>37</xdr:col>
      <xdr:colOff>133045</xdr:colOff>
      <xdr:row>8</xdr:row>
      <xdr:rowOff>152400</xdr:rowOff>
    </xdr:from>
    <xdr:to>
      <xdr:col>42</xdr:col>
      <xdr:colOff>55019</xdr:colOff>
      <xdr:row>11</xdr:row>
      <xdr:rowOff>125782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/>
        </xdr:cNvSpPr>
      </xdr:nvSpPr>
      <xdr:spPr bwMode="auto">
        <a:xfrm>
          <a:off x="8534400" y="1543050"/>
          <a:ext cx="914400" cy="552450"/>
        </a:xfrm>
        <a:prstGeom prst="borderCallout2">
          <a:avLst>
            <a:gd name="adj1" fmla="val 20690"/>
            <a:gd name="adj2" fmla="val -8333"/>
            <a:gd name="adj3" fmla="val 20690"/>
            <a:gd name="adj4" fmla="val -154167"/>
            <a:gd name="adj5" fmla="val 34481"/>
            <a:gd name="adj6" fmla="val -27395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プルダウンで用途を選択して下さい。</a:t>
          </a:r>
        </a:p>
      </xdr:txBody>
    </xdr:sp>
    <xdr:clientData/>
  </xdr:twoCellAnchor>
  <xdr:twoCellAnchor>
    <xdr:from>
      <xdr:col>0</xdr:col>
      <xdr:colOff>97155</xdr:colOff>
      <xdr:row>1</xdr:row>
      <xdr:rowOff>304800</xdr:rowOff>
    </xdr:from>
    <xdr:to>
      <xdr:col>0</xdr:col>
      <xdr:colOff>990215</xdr:colOff>
      <xdr:row>9</xdr:row>
      <xdr:rowOff>161925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/>
        </xdr:cNvSpPr>
      </xdr:nvSpPr>
      <xdr:spPr bwMode="auto">
        <a:xfrm>
          <a:off x="114300" y="457200"/>
          <a:ext cx="914400" cy="1285875"/>
        </a:xfrm>
        <a:prstGeom prst="borderCallout2">
          <a:avLst>
            <a:gd name="adj1" fmla="val 8889"/>
            <a:gd name="adj2" fmla="val 108333"/>
            <a:gd name="adj3" fmla="val 8889"/>
            <a:gd name="adj4" fmla="val 143750"/>
            <a:gd name="adj5" fmla="val 120000"/>
            <a:gd name="adj6" fmla="val 25625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経費の目的などを詳しく記入して下さい。（目的が記載されていない場合、税務署から否認される可能性があります。）</a:t>
          </a:r>
        </a:p>
      </xdr:txBody>
    </xdr:sp>
    <xdr:clientData/>
  </xdr:twoCellAnchor>
  <xdr:twoCellAnchor editAs="oneCell">
    <xdr:from>
      <xdr:col>0</xdr:col>
      <xdr:colOff>116852</xdr:colOff>
      <xdr:row>12</xdr:row>
      <xdr:rowOff>38100</xdr:rowOff>
    </xdr:from>
    <xdr:to>
      <xdr:col>0</xdr:col>
      <xdr:colOff>975675</xdr:colOff>
      <xdr:row>14</xdr:row>
      <xdr:rowOff>142875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/>
        </xdr:cNvSpPr>
      </xdr:nvSpPr>
      <xdr:spPr bwMode="auto">
        <a:xfrm>
          <a:off x="119062" y="2190750"/>
          <a:ext cx="838200" cy="485775"/>
        </a:xfrm>
        <a:prstGeom prst="borderCallout2">
          <a:avLst>
            <a:gd name="adj1" fmla="val 23528"/>
            <a:gd name="adj2" fmla="val 108509"/>
            <a:gd name="adj3" fmla="val 23528"/>
            <a:gd name="adj4" fmla="val 124468"/>
            <a:gd name="adj5" fmla="val 57841"/>
            <a:gd name="adj6" fmla="val 1423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経費負担をする部門を選択して下さい。</a:t>
          </a:r>
        </a:p>
      </xdr:txBody>
    </xdr:sp>
    <xdr:clientData/>
  </xdr:twoCellAnchor>
  <xdr:twoCellAnchor>
    <xdr:from>
      <xdr:col>0</xdr:col>
      <xdr:colOff>118758</xdr:colOff>
      <xdr:row>19</xdr:row>
      <xdr:rowOff>123825</xdr:rowOff>
    </xdr:from>
    <xdr:to>
      <xdr:col>0</xdr:col>
      <xdr:colOff>1014043</xdr:colOff>
      <xdr:row>22</xdr:row>
      <xdr:rowOff>161925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/>
        </xdr:cNvSpPr>
      </xdr:nvSpPr>
      <xdr:spPr bwMode="auto">
        <a:xfrm>
          <a:off x="128588" y="3609975"/>
          <a:ext cx="857250" cy="609600"/>
        </a:xfrm>
        <a:prstGeom prst="borderCallout2">
          <a:avLst>
            <a:gd name="adj1" fmla="val 18750"/>
            <a:gd name="adj2" fmla="val 108333"/>
            <a:gd name="adj3" fmla="val 18750"/>
            <a:gd name="adj4" fmla="val 114583"/>
            <a:gd name="adj5" fmla="val -7031"/>
            <a:gd name="adj6" fmla="val 13145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稟議決済通知の、稟議№と承認日付を入力して下さい。</a:t>
          </a:r>
        </a:p>
      </xdr:txBody>
    </xdr:sp>
    <xdr:clientData/>
  </xdr:twoCellAnchor>
  <xdr:twoCellAnchor>
    <xdr:from>
      <xdr:col>37</xdr:col>
      <xdr:colOff>142570</xdr:colOff>
      <xdr:row>15</xdr:row>
      <xdr:rowOff>163830</xdr:rowOff>
    </xdr:from>
    <xdr:to>
      <xdr:col>42</xdr:col>
      <xdr:colOff>56868</xdr:colOff>
      <xdr:row>20</xdr:row>
      <xdr:rowOff>57150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00000000-0008-0000-0100-00000C140000}"/>
            </a:ext>
          </a:extLst>
        </xdr:cNvPr>
        <xdr:cNvSpPr>
          <a:spLocks/>
        </xdr:cNvSpPr>
      </xdr:nvSpPr>
      <xdr:spPr bwMode="auto">
        <a:xfrm>
          <a:off x="8543925" y="2895600"/>
          <a:ext cx="914400" cy="838200"/>
        </a:xfrm>
        <a:prstGeom prst="borderCallout2">
          <a:avLst>
            <a:gd name="adj1" fmla="val 13634"/>
            <a:gd name="adj2" fmla="val -8333"/>
            <a:gd name="adj3" fmla="val 13634"/>
            <a:gd name="adj4" fmla="val -135417"/>
            <a:gd name="adj5" fmla="val 67046"/>
            <a:gd name="adj6" fmla="val -23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上段は、相手先参加者人数、下段は当社参加者人数を記入下さい。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7620</xdr:rowOff>
        </xdr:from>
        <xdr:to>
          <xdr:col>25</xdr:col>
          <xdr:colOff>7620</xdr:colOff>
          <xdr:row>11</xdr:row>
          <xdr:rowOff>7620</xdr:rowOff>
        </xdr:to>
        <xdr:sp macro="" textlink="">
          <xdr:nvSpPr>
            <xdr:cNvPr id="5121" name="Combo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7620</xdr:rowOff>
        </xdr:from>
        <xdr:to>
          <xdr:col>25</xdr:col>
          <xdr:colOff>7620</xdr:colOff>
          <xdr:row>23</xdr:row>
          <xdr:rowOff>7620</xdr:rowOff>
        </xdr:to>
        <xdr:sp macro="" textlink="">
          <xdr:nvSpPr>
            <xdr:cNvPr id="5125" name="ComboBox2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7620</xdr:rowOff>
        </xdr:from>
        <xdr:to>
          <xdr:col>25</xdr:col>
          <xdr:colOff>7620</xdr:colOff>
          <xdr:row>35</xdr:row>
          <xdr:rowOff>7620</xdr:rowOff>
        </xdr:to>
        <xdr:sp macro="" textlink="">
          <xdr:nvSpPr>
            <xdr:cNvPr id="5126" name="ComboBox3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93040</xdr:colOff>
      <xdr:row>15</xdr:row>
      <xdr:rowOff>163830</xdr:rowOff>
    </xdr:from>
    <xdr:to>
      <xdr:col>0</xdr:col>
      <xdr:colOff>1046458</xdr:colOff>
      <xdr:row>19</xdr:row>
      <xdr:rowOff>71516</xdr:rowOff>
    </xdr:to>
    <xdr:sp macro="" textlink="">
      <xdr:nvSpPr>
        <xdr:cNvPr id="14" name="AutoShape 1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90488" y="2895600"/>
          <a:ext cx="933450" cy="661988"/>
        </a:xfrm>
        <a:prstGeom prst="borderCallout2">
          <a:avLst>
            <a:gd name="adj1" fmla="val 23528"/>
            <a:gd name="adj2" fmla="val 108509"/>
            <a:gd name="adj3" fmla="val 23528"/>
            <a:gd name="adj4" fmla="val 124468"/>
            <a:gd name="adj5" fmla="val 12425"/>
            <a:gd name="adj6" fmla="val 13656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経費負担をするプロジェクトコード、名称を選択して下さい。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2.vml"/><Relationship Id="rId7" Type="http://schemas.openxmlformats.org/officeDocument/2006/relationships/control" Target="../activeX/activeX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5" Type="http://schemas.openxmlformats.org/officeDocument/2006/relationships/image" Target="../media/image1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2:AZ61"/>
  <sheetViews>
    <sheetView showGridLines="0" tabSelected="1" view="pageBreakPreview" zoomScaleNormal="100" zoomScaleSheetLayoutView="100" workbookViewId="0">
      <pane ySplit="8" topLeftCell="A9" activePane="bottomLeft" state="frozen"/>
      <selection activeCell="H10" sqref="H10:X11"/>
      <selection pane="bottomLeft" activeCell="A9" sqref="A9:F9"/>
    </sheetView>
  </sheetViews>
  <sheetFormatPr defaultColWidth="2.77734375" defaultRowHeight="12" x14ac:dyDescent="0.15"/>
  <cols>
    <col min="1" max="12" width="2.77734375" style="1"/>
    <col min="13" max="13" width="8.5546875" style="1" customWidth="1"/>
    <col min="14" max="16384" width="2.77734375" style="1"/>
  </cols>
  <sheetData>
    <row r="2" spans="1:36" ht="26.25" customHeight="1" x14ac:dyDescent="0.25">
      <c r="A2" s="201" t="s">
        <v>39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</row>
    <row r="3" spans="1:36" x14ac:dyDescent="0.15">
      <c r="AE3" s="233" t="s">
        <v>53</v>
      </c>
      <c r="AF3" s="233"/>
      <c r="AG3" s="233"/>
      <c r="AH3" s="233"/>
      <c r="AI3" s="233"/>
      <c r="AJ3" s="233"/>
    </row>
    <row r="4" spans="1:36" ht="13.65" customHeight="1" x14ac:dyDescent="0.15">
      <c r="A4" s="92" t="s">
        <v>34</v>
      </c>
      <c r="B4" s="93"/>
      <c r="C4" s="94"/>
      <c r="D4" s="92" t="s">
        <v>0</v>
      </c>
      <c r="E4" s="93"/>
      <c r="F4" s="94"/>
      <c r="G4" s="234" t="s">
        <v>1</v>
      </c>
      <c r="H4" s="235"/>
      <c r="I4" s="236"/>
      <c r="J4" s="92" t="s">
        <v>41</v>
      </c>
      <c r="K4" s="93"/>
      <c r="L4" s="93"/>
      <c r="M4" s="94"/>
      <c r="N4" s="92" t="s">
        <v>2</v>
      </c>
      <c r="O4" s="93"/>
      <c r="P4" s="93"/>
      <c r="Q4" s="94"/>
      <c r="R4" s="92" t="s">
        <v>40</v>
      </c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4"/>
      <c r="AE4" s="92" t="s">
        <v>4</v>
      </c>
      <c r="AF4" s="93"/>
      <c r="AG4" s="93"/>
      <c r="AH4" s="93"/>
      <c r="AI4" s="93"/>
      <c r="AJ4" s="94"/>
    </row>
    <row r="5" spans="1:36" ht="13.65" customHeight="1" x14ac:dyDescent="0.15">
      <c r="A5" s="158"/>
      <c r="B5" s="159"/>
      <c r="C5" s="160"/>
      <c r="D5" s="158"/>
      <c r="E5" s="159"/>
      <c r="F5" s="160"/>
      <c r="G5" s="237"/>
      <c r="H5" s="238"/>
      <c r="I5" s="239"/>
      <c r="J5" s="243"/>
      <c r="K5" s="244"/>
      <c r="L5" s="244"/>
      <c r="M5" s="245"/>
      <c r="N5" s="95"/>
      <c r="O5" s="96"/>
      <c r="P5" s="96"/>
      <c r="Q5" s="97"/>
      <c r="R5" s="95"/>
      <c r="S5" s="96"/>
      <c r="T5" s="96"/>
      <c r="U5" s="96"/>
      <c r="V5" s="96"/>
      <c r="W5" s="96"/>
      <c r="X5" s="96"/>
      <c r="Y5" s="96"/>
      <c r="Z5" s="96"/>
      <c r="AA5" s="97"/>
      <c r="AB5" s="212" t="s">
        <v>3</v>
      </c>
      <c r="AC5" s="213"/>
      <c r="AD5" s="214"/>
      <c r="AE5" s="202">
        <f ca="1">NOW()</f>
        <v>45761.590506250002</v>
      </c>
      <c r="AF5" s="203"/>
      <c r="AG5" s="203"/>
      <c r="AH5" s="203"/>
      <c r="AI5" s="203"/>
      <c r="AJ5" s="204"/>
    </row>
    <row r="6" spans="1:36" x14ac:dyDescent="0.15">
      <c r="A6" s="161"/>
      <c r="B6" s="162"/>
      <c r="C6" s="163"/>
      <c r="D6" s="161"/>
      <c r="E6" s="162"/>
      <c r="F6" s="163"/>
      <c r="G6" s="237"/>
      <c r="H6" s="238"/>
      <c r="I6" s="239"/>
      <c r="J6" s="246"/>
      <c r="K6" s="247"/>
      <c r="L6" s="247"/>
      <c r="M6" s="248"/>
      <c r="N6" s="98"/>
      <c r="O6" s="99"/>
      <c r="P6" s="99"/>
      <c r="Q6" s="100"/>
      <c r="R6" s="98"/>
      <c r="S6" s="99"/>
      <c r="T6" s="99"/>
      <c r="U6" s="99"/>
      <c r="V6" s="99"/>
      <c r="W6" s="99"/>
      <c r="X6" s="99"/>
      <c r="Y6" s="99"/>
      <c r="Z6" s="99"/>
      <c r="AA6" s="100"/>
      <c r="AB6" s="215"/>
      <c r="AC6" s="216"/>
      <c r="AD6" s="217"/>
      <c r="AE6" s="205"/>
      <c r="AF6" s="206"/>
      <c r="AG6" s="206"/>
      <c r="AH6" s="206"/>
      <c r="AI6" s="206"/>
      <c r="AJ6" s="207"/>
    </row>
    <row r="7" spans="1:36" x14ac:dyDescent="0.15">
      <c r="A7" s="164"/>
      <c r="B7" s="131"/>
      <c r="C7" s="165"/>
      <c r="D7" s="164"/>
      <c r="E7" s="131"/>
      <c r="F7" s="165"/>
      <c r="G7" s="240"/>
      <c r="H7" s="241"/>
      <c r="I7" s="242"/>
      <c r="J7" s="249"/>
      <c r="K7" s="250"/>
      <c r="L7" s="250"/>
      <c r="M7" s="251"/>
      <c r="N7" s="101"/>
      <c r="O7" s="102"/>
      <c r="P7" s="102"/>
      <c r="Q7" s="103"/>
      <c r="R7" s="101"/>
      <c r="S7" s="102"/>
      <c r="T7" s="102"/>
      <c r="U7" s="102"/>
      <c r="V7" s="102"/>
      <c r="W7" s="102"/>
      <c r="X7" s="102"/>
      <c r="Y7" s="102"/>
      <c r="Z7" s="102"/>
      <c r="AA7" s="103"/>
      <c r="AB7" s="218"/>
      <c r="AC7" s="219"/>
      <c r="AD7" s="220"/>
      <c r="AE7" s="208"/>
      <c r="AF7" s="209"/>
      <c r="AG7" s="209"/>
      <c r="AH7" s="209"/>
      <c r="AI7" s="209"/>
      <c r="AJ7" s="210"/>
    </row>
    <row r="8" spans="1:36" x14ac:dyDescent="0.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5" customHeight="1" x14ac:dyDescent="0.15">
      <c r="A9" s="92" t="s">
        <v>5</v>
      </c>
      <c r="B9" s="93"/>
      <c r="C9" s="93"/>
      <c r="D9" s="93"/>
      <c r="E9" s="93"/>
      <c r="F9" s="94"/>
      <c r="G9" s="92" t="s">
        <v>6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4"/>
      <c r="Y9" s="92" t="s">
        <v>12</v>
      </c>
      <c r="Z9" s="93"/>
      <c r="AA9" s="93"/>
      <c r="AB9" s="93"/>
      <c r="AC9" s="93"/>
      <c r="AD9" s="93"/>
      <c r="AE9" s="94"/>
      <c r="AF9" s="92" t="s">
        <v>15</v>
      </c>
      <c r="AG9" s="93"/>
      <c r="AH9" s="93"/>
      <c r="AI9" s="93"/>
      <c r="AJ9" s="94"/>
    </row>
    <row r="10" spans="1:36" ht="15" customHeight="1" x14ac:dyDescent="0.15">
      <c r="A10" s="116"/>
      <c r="B10" s="117"/>
      <c r="C10" s="117"/>
      <c r="D10" s="117"/>
      <c r="E10" s="117"/>
      <c r="F10" s="118"/>
      <c r="G10" s="107" t="s">
        <v>29</v>
      </c>
      <c r="H10" s="108"/>
      <c r="I10" s="109"/>
      <c r="J10" s="193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4"/>
      <c r="Y10" s="181"/>
      <c r="Z10" s="182"/>
      <c r="AA10" s="182"/>
      <c r="AB10" s="182"/>
      <c r="AC10" s="182"/>
      <c r="AD10" s="182"/>
      <c r="AE10" s="183"/>
      <c r="AF10" s="18"/>
      <c r="AG10" s="19"/>
      <c r="AH10" s="19"/>
      <c r="AI10" s="19"/>
      <c r="AJ10" s="20"/>
    </row>
    <row r="11" spans="1:36" ht="15" customHeight="1" x14ac:dyDescent="0.15">
      <c r="A11" s="92" t="s">
        <v>7</v>
      </c>
      <c r="B11" s="93"/>
      <c r="C11" s="93"/>
      <c r="D11" s="93"/>
      <c r="E11" s="93"/>
      <c r="F11" s="94"/>
      <c r="G11" s="113"/>
      <c r="H11" s="114"/>
      <c r="I11" s="115"/>
      <c r="J11" s="195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4"/>
      <c r="Y11" s="184"/>
      <c r="Z11" s="185"/>
      <c r="AA11" s="185"/>
      <c r="AB11" s="185"/>
      <c r="AC11" s="185"/>
      <c r="AD11" s="185"/>
      <c r="AE11" s="186"/>
      <c r="AF11" s="190" t="str">
        <f>IF(OR(J10="会議、業務打合せ時の昼食程度の飲食代",J10="取引先等に対する接待に要した飲食代"),IF(AD20&lt;3001,"5020","5019"),IF(ISERROR(VLOOKUP(J10,科目一覧,3,FALSE)),"",VLOOKUP(J10,科目一覧,3,FALSE)))</f>
        <v/>
      </c>
      <c r="AG11" s="191"/>
      <c r="AH11" s="191"/>
      <c r="AI11" s="191"/>
      <c r="AJ11" s="192"/>
    </row>
    <row r="12" spans="1:36" ht="15" customHeight="1" x14ac:dyDescent="0.15">
      <c r="A12" s="119"/>
      <c r="B12" s="120"/>
      <c r="C12" s="120"/>
      <c r="D12" s="120"/>
      <c r="E12" s="120"/>
      <c r="F12" s="121"/>
      <c r="G12" s="197" t="s">
        <v>22</v>
      </c>
      <c r="H12" s="198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200"/>
      <c r="Y12" s="184"/>
      <c r="Z12" s="185"/>
      <c r="AA12" s="185"/>
      <c r="AB12" s="185"/>
      <c r="AC12" s="185"/>
      <c r="AD12" s="185"/>
      <c r="AE12" s="186"/>
      <c r="AF12" s="161" t="str">
        <f>IF(OR(J10="会議、業務打合せ時の昼食程度の飲食代",J10="取引先等に対する接待に要した飲食代"),IF(AD20&lt;3001,"会議費","接待交際費"),IF(ISERROR(VLOOKUP(J10,科目一覧,4,FALSE)),"",VLOOKUP(J10,科目一覧,4,FALSE)))</f>
        <v/>
      </c>
      <c r="AG12" s="162"/>
      <c r="AH12" s="162"/>
      <c r="AI12" s="162"/>
      <c r="AJ12" s="163"/>
    </row>
    <row r="13" spans="1:36" ht="15" customHeight="1" x14ac:dyDescent="0.15">
      <c r="A13" s="122"/>
      <c r="B13" s="123"/>
      <c r="C13" s="123"/>
      <c r="D13" s="123"/>
      <c r="E13" s="123"/>
      <c r="F13" s="124"/>
      <c r="G13" s="104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184"/>
      <c r="Z13" s="185"/>
      <c r="AA13" s="185"/>
      <c r="AB13" s="185"/>
      <c r="AC13" s="185"/>
      <c r="AD13" s="185"/>
      <c r="AE13" s="186"/>
      <c r="AF13" s="172" t="str">
        <f>IF(J10="","",IF(AD20="",IF(ISERROR(VLOOKUP(J10,科目一覧,5,FALSE)),"",VLOOKUP(J10,科目一覧,5,FALSE)),IF(AD20&lt;3000,"2",IF(AD20&gt;5000,"1","2"))))</f>
        <v/>
      </c>
      <c r="AG13" s="173"/>
      <c r="AH13" s="173"/>
      <c r="AI13" s="173"/>
      <c r="AJ13" s="174"/>
    </row>
    <row r="14" spans="1:36" ht="15" customHeight="1" x14ac:dyDescent="0.15">
      <c r="A14" s="92" t="s">
        <v>42</v>
      </c>
      <c r="B14" s="93"/>
      <c r="C14" s="93"/>
      <c r="D14" s="93"/>
      <c r="E14" s="93"/>
      <c r="F14" s="94"/>
      <c r="G14" s="104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184"/>
      <c r="Z14" s="185"/>
      <c r="AA14" s="185"/>
      <c r="AB14" s="185"/>
      <c r="AC14" s="185"/>
      <c r="AD14" s="185"/>
      <c r="AE14" s="186"/>
      <c r="AF14" s="161" t="str">
        <f>IF(J10="","",IF(AD20="",IF(ISERROR(VLOOKUP(AF11&amp;AF13,科目一覧2,5,FALSE)),"",VLOOKUP(AF11&amp;AF13,科目一覧2,5,FALSE)),IF(AD20&lt;3001,"飲食費",IF(AD20&gt;5000,"飲食代","飲食代(損金算入)"))))</f>
        <v/>
      </c>
      <c r="AG14" s="162"/>
      <c r="AH14" s="162"/>
      <c r="AI14" s="162"/>
      <c r="AJ14" s="163"/>
    </row>
    <row r="15" spans="1:36" ht="15" customHeight="1" x14ac:dyDescent="0.15">
      <c r="A15" s="125"/>
      <c r="B15" s="126"/>
      <c r="C15" s="126"/>
      <c r="D15" s="126"/>
      <c r="E15" s="126"/>
      <c r="F15" s="127"/>
      <c r="G15" s="104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84"/>
      <c r="Z15" s="185"/>
      <c r="AA15" s="185"/>
      <c r="AB15" s="185"/>
      <c r="AC15" s="185"/>
      <c r="AD15" s="185"/>
      <c r="AE15" s="186"/>
      <c r="AF15" s="172"/>
      <c r="AG15" s="173"/>
      <c r="AH15" s="173"/>
      <c r="AI15" s="173"/>
      <c r="AJ15" s="174"/>
    </row>
    <row r="16" spans="1:36" ht="15" customHeight="1" x14ac:dyDescent="0.15">
      <c r="A16" s="128" t="s">
        <v>76</v>
      </c>
      <c r="B16" s="129"/>
      <c r="C16" s="129"/>
      <c r="D16" s="129"/>
      <c r="E16" s="129"/>
      <c r="F16" s="130"/>
      <c r="G16" s="104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84"/>
      <c r="Z16" s="185"/>
      <c r="AA16" s="185"/>
      <c r="AB16" s="185"/>
      <c r="AC16" s="185"/>
      <c r="AD16" s="185"/>
      <c r="AE16" s="186"/>
      <c r="AF16" s="24"/>
      <c r="AG16" s="14"/>
      <c r="AH16" s="14"/>
      <c r="AI16" s="14"/>
      <c r="AJ16" s="25"/>
    </row>
    <row r="17" spans="1:36" ht="15" customHeight="1" x14ac:dyDescent="0.15">
      <c r="A17" s="134" t="s">
        <v>30</v>
      </c>
      <c r="B17" s="135"/>
      <c r="C17" s="135"/>
      <c r="D17" s="135"/>
      <c r="E17" s="135"/>
      <c r="F17" s="136"/>
      <c r="G17" s="175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7"/>
      <c r="Y17" s="184"/>
      <c r="Z17" s="185"/>
      <c r="AA17" s="185"/>
      <c r="AB17" s="185"/>
      <c r="AC17" s="185"/>
      <c r="AD17" s="185"/>
      <c r="AE17" s="186"/>
      <c r="AF17" s="24"/>
      <c r="AG17" s="14"/>
      <c r="AH17" s="14"/>
      <c r="AI17" s="14"/>
      <c r="AJ17" s="25"/>
    </row>
    <row r="18" spans="1:36" ht="15" customHeight="1" x14ac:dyDescent="0.15">
      <c r="A18" s="137"/>
      <c r="B18" s="138"/>
      <c r="C18" s="138"/>
      <c r="D18" s="138"/>
      <c r="E18" s="138"/>
      <c r="F18" s="139"/>
      <c r="G18" s="92" t="s">
        <v>14</v>
      </c>
      <c r="H18" s="93"/>
      <c r="I18" s="93"/>
      <c r="J18" s="93"/>
      <c r="K18" s="94"/>
      <c r="L18" s="169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1"/>
      <c r="Y18" s="187"/>
      <c r="Z18" s="188"/>
      <c r="AA18" s="188"/>
      <c r="AB18" s="188"/>
      <c r="AC18" s="188"/>
      <c r="AD18" s="188"/>
      <c r="AE18" s="189"/>
      <c r="AF18" s="26"/>
      <c r="AG18" s="27"/>
      <c r="AH18" s="27"/>
      <c r="AI18" s="27"/>
      <c r="AJ18" s="28"/>
    </row>
    <row r="19" spans="1:36" ht="15" customHeight="1" x14ac:dyDescent="0.15">
      <c r="A19" s="128" t="s">
        <v>75</v>
      </c>
      <c r="B19" s="129"/>
      <c r="C19" s="129"/>
      <c r="D19" s="129"/>
      <c r="E19" s="129"/>
      <c r="F19" s="130"/>
      <c r="G19" s="92" t="s">
        <v>33</v>
      </c>
      <c r="H19" s="93"/>
      <c r="I19" s="93"/>
      <c r="J19" s="93"/>
      <c r="K19" s="94"/>
      <c r="L19" s="169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1"/>
      <c r="Y19" s="178" t="s">
        <v>10</v>
      </c>
      <c r="Z19" s="180"/>
      <c r="AA19" s="169"/>
      <c r="AB19" s="170"/>
      <c r="AC19" s="29" t="s">
        <v>11</v>
      </c>
      <c r="AD19" s="178" t="s">
        <v>13</v>
      </c>
      <c r="AE19" s="179"/>
      <c r="AF19" s="179"/>
      <c r="AG19" s="179"/>
      <c r="AH19" s="179"/>
      <c r="AI19" s="179"/>
      <c r="AJ19" s="180"/>
    </row>
    <row r="20" spans="1:36" ht="15" customHeight="1" thickBot="1" x14ac:dyDescent="0.2">
      <c r="A20" s="146"/>
      <c r="B20" s="147"/>
      <c r="C20" s="147"/>
      <c r="D20" s="147"/>
      <c r="E20" s="147"/>
      <c r="F20" s="148"/>
      <c r="G20" s="140" t="s">
        <v>9</v>
      </c>
      <c r="H20" s="141"/>
      <c r="I20" s="141"/>
      <c r="J20" s="141"/>
      <c r="K20" s="142"/>
      <c r="L20" s="143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5"/>
      <c r="Y20" s="132" t="s">
        <v>10</v>
      </c>
      <c r="Z20" s="133"/>
      <c r="AA20" s="143"/>
      <c r="AB20" s="144"/>
      <c r="AC20" s="30" t="s">
        <v>11</v>
      </c>
      <c r="AD20" s="155" t="str">
        <f>IF(AA20+AA19=0,"",Y10/(AA19+AA20))</f>
        <v/>
      </c>
      <c r="AE20" s="156"/>
      <c r="AF20" s="156"/>
      <c r="AG20" s="156"/>
      <c r="AH20" s="156"/>
      <c r="AI20" s="156"/>
      <c r="AJ20" s="157"/>
    </row>
    <row r="21" spans="1:36" ht="15" customHeight="1" x14ac:dyDescent="0.15">
      <c r="A21" s="92" t="s">
        <v>5</v>
      </c>
      <c r="B21" s="93"/>
      <c r="C21" s="93"/>
      <c r="D21" s="93"/>
      <c r="E21" s="93"/>
      <c r="F21" s="94"/>
      <c r="G21" s="92" t="s">
        <v>6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4"/>
      <c r="Y21" s="92" t="s">
        <v>12</v>
      </c>
      <c r="Z21" s="93"/>
      <c r="AA21" s="93"/>
      <c r="AB21" s="93"/>
      <c r="AC21" s="93"/>
      <c r="AD21" s="93"/>
      <c r="AE21" s="94"/>
      <c r="AF21" s="92" t="s">
        <v>15</v>
      </c>
      <c r="AG21" s="93"/>
      <c r="AH21" s="93"/>
      <c r="AI21" s="93"/>
      <c r="AJ21" s="94"/>
    </row>
    <row r="22" spans="1:36" ht="15" customHeight="1" x14ac:dyDescent="0.15">
      <c r="A22" s="116"/>
      <c r="B22" s="117"/>
      <c r="C22" s="117"/>
      <c r="D22" s="117"/>
      <c r="E22" s="117"/>
      <c r="F22" s="118"/>
      <c r="G22" s="107" t="s">
        <v>29</v>
      </c>
      <c r="H22" s="108"/>
      <c r="I22" s="109"/>
      <c r="J22" s="193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4"/>
      <c r="Y22" s="181"/>
      <c r="Z22" s="182"/>
      <c r="AA22" s="182"/>
      <c r="AB22" s="182"/>
      <c r="AC22" s="182"/>
      <c r="AD22" s="182"/>
      <c r="AE22" s="183"/>
      <c r="AF22" s="18"/>
      <c r="AG22" s="19"/>
      <c r="AH22" s="19"/>
      <c r="AI22" s="19"/>
      <c r="AJ22" s="20"/>
    </row>
    <row r="23" spans="1:36" ht="15" customHeight="1" x14ac:dyDescent="0.15">
      <c r="A23" s="92" t="s">
        <v>7</v>
      </c>
      <c r="B23" s="93"/>
      <c r="C23" s="93"/>
      <c r="D23" s="93"/>
      <c r="E23" s="93"/>
      <c r="F23" s="94"/>
      <c r="G23" s="113"/>
      <c r="H23" s="114"/>
      <c r="I23" s="115"/>
      <c r="J23" s="195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4"/>
      <c r="Y23" s="184"/>
      <c r="Z23" s="185"/>
      <c r="AA23" s="185"/>
      <c r="AB23" s="185"/>
      <c r="AC23" s="185"/>
      <c r="AD23" s="185"/>
      <c r="AE23" s="186"/>
      <c r="AF23" s="190" t="str">
        <f>IF(OR(J22="会議、業務打合せ時の昼食程度の飲食代",J22="取引先等に対する接待に要した飲食代"),IF(AD32&lt;3001,"5020","5019"),IF(ISERROR(VLOOKUP(J22,科目一覧,3,FALSE)),"",VLOOKUP(J22,科目一覧,3,FALSE)))</f>
        <v/>
      </c>
      <c r="AG23" s="191"/>
      <c r="AH23" s="191"/>
      <c r="AI23" s="191"/>
      <c r="AJ23" s="192"/>
    </row>
    <row r="24" spans="1:36" ht="15" customHeight="1" x14ac:dyDescent="0.15">
      <c r="A24" s="119"/>
      <c r="B24" s="120"/>
      <c r="C24" s="120"/>
      <c r="D24" s="120"/>
      <c r="E24" s="120"/>
      <c r="F24" s="121"/>
      <c r="G24" s="197" t="s">
        <v>22</v>
      </c>
      <c r="H24" s="198"/>
      <c r="I24" s="211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200"/>
      <c r="Y24" s="184"/>
      <c r="Z24" s="185"/>
      <c r="AA24" s="185"/>
      <c r="AB24" s="185"/>
      <c r="AC24" s="185"/>
      <c r="AD24" s="185"/>
      <c r="AE24" s="186"/>
      <c r="AF24" s="161" t="str">
        <f>IF(OR(J22="会議、業務打合せ時の昼食程度の飲食代",J22="取引先等に対する接待に要した飲食代"),IF(AD32&lt;3001,"会議費","接待交際費"),IF(ISERROR(VLOOKUP(J22,科目一覧,4,FALSE)),"",VLOOKUP(J22,科目一覧,4,FALSE)))</f>
        <v/>
      </c>
      <c r="AG24" s="162"/>
      <c r="AH24" s="162"/>
      <c r="AI24" s="162"/>
      <c r="AJ24" s="163"/>
    </row>
    <row r="25" spans="1:36" ht="15" customHeight="1" x14ac:dyDescent="0.15">
      <c r="A25" s="122"/>
      <c r="B25" s="123"/>
      <c r="C25" s="123"/>
      <c r="D25" s="123"/>
      <c r="E25" s="123"/>
      <c r="F25" s="124"/>
      <c r="G25" s="104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84"/>
      <c r="Z25" s="185"/>
      <c r="AA25" s="185"/>
      <c r="AB25" s="185"/>
      <c r="AC25" s="185"/>
      <c r="AD25" s="185"/>
      <c r="AE25" s="186"/>
      <c r="AF25" s="172" t="str">
        <f>IF(J22="","",IF(AD32="",IF(ISERROR(VLOOKUP(J22,科目一覧,5,FALSE)),"",VLOOKUP(J22,科目一覧,5,FALSE)),IF(AD32&lt;3000,"2",IF(AD32&gt;5000,"1","2"))))</f>
        <v/>
      </c>
      <c r="AG25" s="173"/>
      <c r="AH25" s="173"/>
      <c r="AI25" s="173"/>
      <c r="AJ25" s="174"/>
    </row>
    <row r="26" spans="1:36" ht="15" customHeight="1" x14ac:dyDescent="0.15">
      <c r="A26" s="92" t="s">
        <v>42</v>
      </c>
      <c r="B26" s="93"/>
      <c r="C26" s="93"/>
      <c r="D26" s="93"/>
      <c r="E26" s="93"/>
      <c r="F26" s="94"/>
      <c r="G26" s="104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84"/>
      <c r="Z26" s="185"/>
      <c r="AA26" s="185"/>
      <c r="AB26" s="185"/>
      <c r="AC26" s="185"/>
      <c r="AD26" s="185"/>
      <c r="AE26" s="186"/>
      <c r="AF26" s="161" t="str">
        <f>IF(J22="","",IF(AD32="",IF(ISERROR(VLOOKUP(AF23&amp;AF25,科目一覧2,5,FALSE)),"",VLOOKUP(AF23&amp;AF25,科目一覧2,5,FALSE)),IF(AD32&lt;3001,"飲食費",IF(AD32&gt;5000,"飲食代","飲食代(損金算入)"))))</f>
        <v/>
      </c>
      <c r="AG26" s="162"/>
      <c r="AH26" s="162"/>
      <c r="AI26" s="162"/>
      <c r="AJ26" s="163"/>
    </row>
    <row r="27" spans="1:36" ht="15" customHeight="1" x14ac:dyDescent="0.15">
      <c r="A27" s="125"/>
      <c r="B27" s="126"/>
      <c r="C27" s="126"/>
      <c r="D27" s="126"/>
      <c r="E27" s="126"/>
      <c r="F27" s="127"/>
      <c r="G27" s="104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84"/>
      <c r="Z27" s="185"/>
      <c r="AA27" s="185"/>
      <c r="AB27" s="185"/>
      <c r="AC27" s="185"/>
      <c r="AD27" s="185"/>
      <c r="AE27" s="186"/>
      <c r="AF27" s="172"/>
      <c r="AG27" s="173"/>
      <c r="AH27" s="173"/>
      <c r="AI27" s="173"/>
      <c r="AJ27" s="174"/>
    </row>
    <row r="28" spans="1:36" ht="15" customHeight="1" x14ac:dyDescent="0.15">
      <c r="A28" s="128" t="s">
        <v>76</v>
      </c>
      <c r="B28" s="129"/>
      <c r="C28" s="129"/>
      <c r="D28" s="129"/>
      <c r="E28" s="129"/>
      <c r="F28" s="130"/>
      <c r="G28" s="104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84"/>
      <c r="Z28" s="185"/>
      <c r="AA28" s="185"/>
      <c r="AB28" s="185"/>
      <c r="AC28" s="185"/>
      <c r="AD28" s="185"/>
      <c r="AE28" s="186"/>
      <c r="AF28" s="24"/>
      <c r="AG28" s="14"/>
      <c r="AH28" s="14"/>
      <c r="AI28" s="14"/>
      <c r="AJ28" s="25"/>
    </row>
    <row r="29" spans="1:36" ht="15" customHeight="1" x14ac:dyDescent="0.15">
      <c r="A29" s="134"/>
      <c r="B29" s="135"/>
      <c r="C29" s="135"/>
      <c r="D29" s="135"/>
      <c r="E29" s="135"/>
      <c r="F29" s="136"/>
      <c r="G29" s="175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7"/>
      <c r="Y29" s="184"/>
      <c r="Z29" s="185"/>
      <c r="AA29" s="185"/>
      <c r="AB29" s="185"/>
      <c r="AC29" s="185"/>
      <c r="AD29" s="185"/>
      <c r="AE29" s="186"/>
      <c r="AF29" s="24"/>
      <c r="AG29" s="14"/>
      <c r="AH29" s="14"/>
      <c r="AI29" s="14"/>
      <c r="AJ29" s="25"/>
    </row>
    <row r="30" spans="1:36" ht="15" customHeight="1" x14ac:dyDescent="0.15">
      <c r="A30" s="137"/>
      <c r="B30" s="138"/>
      <c r="C30" s="138"/>
      <c r="D30" s="138"/>
      <c r="E30" s="138"/>
      <c r="F30" s="139"/>
      <c r="G30" s="92" t="s">
        <v>14</v>
      </c>
      <c r="H30" s="93"/>
      <c r="I30" s="93"/>
      <c r="J30" s="93"/>
      <c r="K30" s="94"/>
      <c r="L30" s="169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1"/>
      <c r="Y30" s="187"/>
      <c r="Z30" s="188"/>
      <c r="AA30" s="188"/>
      <c r="AB30" s="188"/>
      <c r="AC30" s="188"/>
      <c r="AD30" s="188"/>
      <c r="AE30" s="189"/>
      <c r="AF30" s="26"/>
      <c r="AG30" s="27"/>
      <c r="AH30" s="27"/>
      <c r="AI30" s="27"/>
      <c r="AJ30" s="28"/>
    </row>
    <row r="31" spans="1:36" ht="15" customHeight="1" x14ac:dyDescent="0.15">
      <c r="A31" s="128" t="s">
        <v>75</v>
      </c>
      <c r="B31" s="129"/>
      <c r="C31" s="129"/>
      <c r="D31" s="129"/>
      <c r="E31" s="129"/>
      <c r="F31" s="130"/>
      <c r="G31" s="92" t="s">
        <v>33</v>
      </c>
      <c r="H31" s="93"/>
      <c r="I31" s="93"/>
      <c r="J31" s="93"/>
      <c r="K31" s="94"/>
      <c r="L31" s="169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1"/>
      <c r="Y31" s="178" t="s">
        <v>10</v>
      </c>
      <c r="Z31" s="180"/>
      <c r="AA31" s="169"/>
      <c r="AB31" s="170"/>
      <c r="AC31" s="29" t="s">
        <v>11</v>
      </c>
      <c r="AD31" s="178" t="s">
        <v>13</v>
      </c>
      <c r="AE31" s="179"/>
      <c r="AF31" s="179"/>
      <c r="AG31" s="179"/>
      <c r="AH31" s="179"/>
      <c r="AI31" s="179"/>
      <c r="AJ31" s="180"/>
    </row>
    <row r="32" spans="1:36" ht="15" customHeight="1" thickBot="1" x14ac:dyDescent="0.2">
      <c r="A32" s="146"/>
      <c r="B32" s="147"/>
      <c r="C32" s="147"/>
      <c r="D32" s="147"/>
      <c r="E32" s="147"/>
      <c r="F32" s="148"/>
      <c r="G32" s="140" t="s">
        <v>9</v>
      </c>
      <c r="H32" s="141"/>
      <c r="I32" s="141"/>
      <c r="J32" s="141"/>
      <c r="K32" s="142"/>
      <c r="L32" s="143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5"/>
      <c r="Y32" s="132" t="s">
        <v>10</v>
      </c>
      <c r="Z32" s="133"/>
      <c r="AA32" s="143"/>
      <c r="AB32" s="144"/>
      <c r="AC32" s="30" t="s">
        <v>11</v>
      </c>
      <c r="AD32" s="155" t="str">
        <f>IF(AA32+AA31=0,"",Y22/(AA31+AA32))</f>
        <v/>
      </c>
      <c r="AE32" s="156"/>
      <c r="AF32" s="156"/>
      <c r="AG32" s="156"/>
      <c r="AH32" s="156"/>
      <c r="AI32" s="156"/>
      <c r="AJ32" s="157"/>
    </row>
    <row r="33" spans="1:36" ht="15" customHeight="1" x14ac:dyDescent="0.15">
      <c r="A33" s="92" t="s">
        <v>5</v>
      </c>
      <c r="B33" s="93"/>
      <c r="C33" s="93"/>
      <c r="D33" s="93"/>
      <c r="E33" s="93"/>
      <c r="F33" s="94"/>
      <c r="G33" s="92" t="s">
        <v>6</v>
      </c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4"/>
      <c r="Y33" s="92" t="s">
        <v>12</v>
      </c>
      <c r="Z33" s="93"/>
      <c r="AA33" s="93"/>
      <c r="AB33" s="93"/>
      <c r="AC33" s="93"/>
      <c r="AD33" s="93"/>
      <c r="AE33" s="94"/>
      <c r="AF33" s="92" t="s">
        <v>15</v>
      </c>
      <c r="AG33" s="93"/>
      <c r="AH33" s="93"/>
      <c r="AI33" s="93"/>
      <c r="AJ33" s="94"/>
    </row>
    <row r="34" spans="1:36" ht="15" customHeight="1" x14ac:dyDescent="0.15">
      <c r="A34" s="116"/>
      <c r="B34" s="117"/>
      <c r="C34" s="117"/>
      <c r="D34" s="117"/>
      <c r="E34" s="117"/>
      <c r="F34" s="118"/>
      <c r="G34" s="107" t="s">
        <v>29</v>
      </c>
      <c r="H34" s="108"/>
      <c r="I34" s="109"/>
      <c r="J34" s="193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4"/>
      <c r="Y34" s="181"/>
      <c r="Z34" s="182"/>
      <c r="AA34" s="182"/>
      <c r="AB34" s="182"/>
      <c r="AC34" s="182"/>
      <c r="AD34" s="182"/>
      <c r="AE34" s="183"/>
      <c r="AF34" s="18"/>
      <c r="AG34" s="19"/>
      <c r="AH34" s="19"/>
      <c r="AI34" s="19"/>
      <c r="AJ34" s="20"/>
    </row>
    <row r="35" spans="1:36" ht="15" customHeight="1" x14ac:dyDescent="0.15">
      <c r="A35" s="92" t="s">
        <v>7</v>
      </c>
      <c r="B35" s="93"/>
      <c r="C35" s="93"/>
      <c r="D35" s="93"/>
      <c r="E35" s="93"/>
      <c r="F35" s="94"/>
      <c r="G35" s="113"/>
      <c r="H35" s="114"/>
      <c r="I35" s="115"/>
      <c r="J35" s="195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4"/>
      <c r="Y35" s="184"/>
      <c r="Z35" s="185"/>
      <c r="AA35" s="185"/>
      <c r="AB35" s="185"/>
      <c r="AC35" s="185"/>
      <c r="AD35" s="185"/>
      <c r="AE35" s="186"/>
      <c r="AF35" s="190" t="str">
        <f>IF(OR(J34="会議、業務打合せ時の昼食程度の飲食代",J34="取引先等に対する接待に要した飲食代"),IF(AD44&lt;3001,"5020","5019"),IF(ISERROR(VLOOKUP(J34,科目一覧,3,FALSE)),"",VLOOKUP(J34,科目一覧,3,FALSE)))</f>
        <v/>
      </c>
      <c r="AG35" s="191"/>
      <c r="AH35" s="191"/>
      <c r="AI35" s="191"/>
      <c r="AJ35" s="192"/>
    </row>
    <row r="36" spans="1:36" ht="15" customHeight="1" x14ac:dyDescent="0.15">
      <c r="A36" s="119"/>
      <c r="B36" s="120"/>
      <c r="C36" s="120"/>
      <c r="D36" s="120"/>
      <c r="E36" s="120"/>
      <c r="F36" s="121"/>
      <c r="G36" s="197" t="s">
        <v>22</v>
      </c>
      <c r="H36" s="198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200"/>
      <c r="Y36" s="184"/>
      <c r="Z36" s="185"/>
      <c r="AA36" s="185"/>
      <c r="AB36" s="185"/>
      <c r="AC36" s="185"/>
      <c r="AD36" s="185"/>
      <c r="AE36" s="186"/>
      <c r="AF36" s="161" t="str">
        <f>IF(OR(J34="会議、業務打合せ時の昼食程度の飲食代",J34="取引先等に対する接待に要した飲食代"),IF(AD44&lt;3001,"会議費","接待交際費"),IF(ISERROR(VLOOKUP(J34,科目一覧,4,FALSE)),"",VLOOKUP(J34,科目一覧,4,FALSE)))</f>
        <v/>
      </c>
      <c r="AG36" s="162"/>
      <c r="AH36" s="162"/>
      <c r="AI36" s="162"/>
      <c r="AJ36" s="163"/>
    </row>
    <row r="37" spans="1:36" ht="15" customHeight="1" x14ac:dyDescent="0.15">
      <c r="A37" s="122"/>
      <c r="B37" s="123"/>
      <c r="C37" s="123"/>
      <c r="D37" s="123"/>
      <c r="E37" s="123"/>
      <c r="F37" s="124"/>
      <c r="G37" s="104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84"/>
      <c r="Z37" s="185"/>
      <c r="AA37" s="185"/>
      <c r="AB37" s="185"/>
      <c r="AC37" s="185"/>
      <c r="AD37" s="185"/>
      <c r="AE37" s="186"/>
      <c r="AF37" s="172" t="str">
        <f>IF(J34="","",IF(AD44="",IF(ISERROR(VLOOKUP(J34,科目一覧,5,FALSE)),"",VLOOKUP(J34,科目一覧,5,FALSE)),IF(AD44&lt;3000,"2",IF(AD44&gt;5000,"1","2"))))</f>
        <v/>
      </c>
      <c r="AG37" s="173"/>
      <c r="AH37" s="173"/>
      <c r="AI37" s="173"/>
      <c r="AJ37" s="174"/>
    </row>
    <row r="38" spans="1:36" ht="15" customHeight="1" x14ac:dyDescent="0.15">
      <c r="A38" s="92" t="s">
        <v>42</v>
      </c>
      <c r="B38" s="93"/>
      <c r="C38" s="93"/>
      <c r="D38" s="93"/>
      <c r="E38" s="93"/>
      <c r="F38" s="94"/>
      <c r="G38" s="104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84"/>
      <c r="Z38" s="185"/>
      <c r="AA38" s="185"/>
      <c r="AB38" s="185"/>
      <c r="AC38" s="185"/>
      <c r="AD38" s="185"/>
      <c r="AE38" s="186"/>
      <c r="AF38" s="161" t="str">
        <f>IF(J34="","",IF(AD44="",IF(ISERROR(VLOOKUP(AF35&amp;AF37,科目一覧2,5,FALSE)),"",VLOOKUP(AF35&amp;AF37,科目一覧2,5,FALSE)),IF(AD44&lt;3001,"飲食費",IF(AD44&gt;5000,"飲食代","飲食代(損金算入)"))))</f>
        <v/>
      </c>
      <c r="AG38" s="162"/>
      <c r="AH38" s="162"/>
      <c r="AI38" s="162"/>
      <c r="AJ38" s="163"/>
    </row>
    <row r="39" spans="1:36" ht="15" customHeight="1" x14ac:dyDescent="0.15">
      <c r="A39" s="125"/>
      <c r="B39" s="126"/>
      <c r="C39" s="126"/>
      <c r="D39" s="126"/>
      <c r="E39" s="126"/>
      <c r="F39" s="127"/>
      <c r="G39" s="104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84"/>
      <c r="Z39" s="185"/>
      <c r="AA39" s="185"/>
      <c r="AB39" s="185"/>
      <c r="AC39" s="185"/>
      <c r="AD39" s="185"/>
      <c r="AE39" s="186"/>
      <c r="AF39" s="172"/>
      <c r="AG39" s="173"/>
      <c r="AH39" s="173"/>
      <c r="AI39" s="173"/>
      <c r="AJ39" s="174"/>
    </row>
    <row r="40" spans="1:36" ht="15" customHeight="1" x14ac:dyDescent="0.15">
      <c r="A40" s="128" t="s">
        <v>76</v>
      </c>
      <c r="B40" s="129"/>
      <c r="C40" s="129"/>
      <c r="D40" s="129"/>
      <c r="E40" s="129"/>
      <c r="F40" s="130"/>
      <c r="G40" s="104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84"/>
      <c r="Z40" s="185"/>
      <c r="AA40" s="185"/>
      <c r="AB40" s="185"/>
      <c r="AC40" s="185"/>
      <c r="AD40" s="185"/>
      <c r="AE40" s="186"/>
      <c r="AF40" s="24"/>
      <c r="AG40" s="14"/>
      <c r="AH40" s="14"/>
      <c r="AI40" s="14"/>
      <c r="AJ40" s="25"/>
    </row>
    <row r="41" spans="1:36" ht="15" customHeight="1" x14ac:dyDescent="0.15">
      <c r="A41" s="134"/>
      <c r="B41" s="135"/>
      <c r="C41" s="135"/>
      <c r="D41" s="135"/>
      <c r="E41" s="135"/>
      <c r="F41" s="136"/>
      <c r="G41" s="175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7"/>
      <c r="Y41" s="184"/>
      <c r="Z41" s="185"/>
      <c r="AA41" s="185"/>
      <c r="AB41" s="185"/>
      <c r="AC41" s="185"/>
      <c r="AD41" s="185"/>
      <c r="AE41" s="186"/>
      <c r="AF41" s="24"/>
      <c r="AG41" s="14"/>
      <c r="AH41" s="14"/>
      <c r="AI41" s="14"/>
      <c r="AJ41" s="25"/>
    </row>
    <row r="42" spans="1:36" ht="15" customHeight="1" x14ac:dyDescent="0.15">
      <c r="A42" s="137"/>
      <c r="B42" s="138"/>
      <c r="C42" s="138"/>
      <c r="D42" s="138"/>
      <c r="E42" s="138"/>
      <c r="F42" s="139"/>
      <c r="G42" s="92" t="s">
        <v>14</v>
      </c>
      <c r="H42" s="93"/>
      <c r="I42" s="93"/>
      <c r="J42" s="93"/>
      <c r="K42" s="94"/>
      <c r="L42" s="169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1"/>
      <c r="Y42" s="187"/>
      <c r="Z42" s="188"/>
      <c r="AA42" s="188"/>
      <c r="AB42" s="188"/>
      <c r="AC42" s="188"/>
      <c r="AD42" s="188"/>
      <c r="AE42" s="189"/>
      <c r="AF42" s="26"/>
      <c r="AG42" s="27"/>
      <c r="AH42" s="27"/>
      <c r="AI42" s="27"/>
      <c r="AJ42" s="28"/>
    </row>
    <row r="43" spans="1:36" ht="15" customHeight="1" x14ac:dyDescent="0.15">
      <c r="A43" s="128" t="s">
        <v>75</v>
      </c>
      <c r="B43" s="129"/>
      <c r="C43" s="129"/>
      <c r="D43" s="129"/>
      <c r="E43" s="129"/>
      <c r="F43" s="130"/>
      <c r="G43" s="92" t="s">
        <v>33</v>
      </c>
      <c r="H43" s="93"/>
      <c r="I43" s="93"/>
      <c r="J43" s="93"/>
      <c r="K43" s="94"/>
      <c r="L43" s="169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1"/>
      <c r="Y43" s="178" t="s">
        <v>10</v>
      </c>
      <c r="Z43" s="180"/>
      <c r="AA43" s="169"/>
      <c r="AB43" s="170"/>
      <c r="AC43" s="29" t="s">
        <v>11</v>
      </c>
      <c r="AD43" s="178" t="s">
        <v>13</v>
      </c>
      <c r="AE43" s="179"/>
      <c r="AF43" s="179"/>
      <c r="AG43" s="179"/>
      <c r="AH43" s="179"/>
      <c r="AI43" s="179"/>
      <c r="AJ43" s="180"/>
    </row>
    <row r="44" spans="1:36" ht="15" customHeight="1" thickBot="1" x14ac:dyDescent="0.2">
      <c r="A44" s="146"/>
      <c r="B44" s="147"/>
      <c r="C44" s="147"/>
      <c r="D44" s="147"/>
      <c r="E44" s="147"/>
      <c r="F44" s="148"/>
      <c r="G44" s="140" t="s">
        <v>9</v>
      </c>
      <c r="H44" s="141"/>
      <c r="I44" s="141"/>
      <c r="J44" s="141"/>
      <c r="K44" s="142"/>
      <c r="L44" s="143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5"/>
      <c r="Y44" s="132" t="s">
        <v>10</v>
      </c>
      <c r="Z44" s="133"/>
      <c r="AA44" s="143"/>
      <c r="AB44" s="144"/>
      <c r="AC44" s="30" t="s">
        <v>11</v>
      </c>
      <c r="AD44" s="155" t="str">
        <f>IF(AA44+AA43=0,"",Y34/(AA43+AA44))</f>
        <v/>
      </c>
      <c r="AE44" s="156"/>
      <c r="AF44" s="156"/>
      <c r="AG44" s="156"/>
      <c r="AH44" s="156"/>
      <c r="AI44" s="156"/>
      <c r="AJ44" s="157"/>
    </row>
    <row r="45" spans="1:36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 ht="12" customHeight="1" x14ac:dyDescent="0.1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2"/>
      <c r="Y46" s="222" t="s">
        <v>21</v>
      </c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4"/>
    </row>
    <row r="47" spans="1:36" ht="13.2" x14ac:dyDescent="0.1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4"/>
      <c r="N47" s="34"/>
      <c r="O47" s="34"/>
      <c r="P47" s="34"/>
      <c r="Q47" s="35"/>
      <c r="R47" s="7"/>
      <c r="S47" s="7"/>
      <c r="T47" s="7"/>
      <c r="U47" s="7"/>
      <c r="V47" s="7"/>
      <c r="W47" s="7"/>
      <c r="X47" s="8"/>
      <c r="Y47" s="149">
        <f>Y10+Y22+Y34</f>
        <v>0</v>
      </c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1"/>
    </row>
    <row r="48" spans="1:36" ht="13.2" x14ac:dyDescent="0.1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4"/>
      <c r="N48" s="34"/>
      <c r="O48" s="34"/>
      <c r="P48" s="34"/>
      <c r="Q48" s="7"/>
      <c r="R48" s="7"/>
      <c r="S48" s="7"/>
      <c r="T48" s="7"/>
      <c r="U48" s="7"/>
      <c r="V48" s="7"/>
      <c r="W48" s="7"/>
      <c r="X48" s="8"/>
      <c r="Y48" s="152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4"/>
    </row>
    <row r="49" spans="1:52" x14ac:dyDescent="0.15">
      <c r="A49" s="36"/>
      <c r="B49" s="36"/>
      <c r="C49" s="131"/>
      <c r="D49" s="131"/>
      <c r="E49" s="131"/>
      <c r="F49" s="131"/>
      <c r="G49" s="131"/>
      <c r="H49" s="131"/>
      <c r="I49" s="131"/>
      <c r="J49" s="131"/>
      <c r="K49" s="131"/>
      <c r="L49" s="27"/>
      <c r="M49" s="131"/>
      <c r="N49" s="131"/>
      <c r="O49" s="131"/>
      <c r="P49" s="131"/>
      <c r="Q49" s="131"/>
      <c r="R49" s="131"/>
      <c r="S49" s="27"/>
      <c r="T49" s="27"/>
      <c r="U49" s="27"/>
      <c r="V49" s="27"/>
      <c r="W49" s="27"/>
      <c r="X49" s="27"/>
      <c r="Y49" s="37"/>
      <c r="Z49" s="37"/>
      <c r="AA49" s="37"/>
      <c r="AB49" s="37"/>
      <c r="AC49" s="37"/>
      <c r="AD49" s="37"/>
      <c r="AE49" s="37"/>
      <c r="AF49" s="37"/>
      <c r="AG49" s="37"/>
      <c r="AH49" s="38"/>
      <c r="AI49" s="38"/>
      <c r="AJ49" s="38"/>
    </row>
    <row r="50" spans="1:52" x14ac:dyDescent="0.15">
      <c r="A50" s="225" t="s">
        <v>55</v>
      </c>
      <c r="B50" s="226"/>
      <c r="C50" s="39"/>
      <c r="D50" s="19" t="s">
        <v>56</v>
      </c>
      <c r="E50" s="10"/>
      <c r="F50" s="10"/>
      <c r="G50" s="10"/>
      <c r="H50" s="10"/>
      <c r="I50" s="10"/>
      <c r="J50" s="10"/>
      <c r="K50" s="10"/>
      <c r="L50" s="10"/>
      <c r="M50" s="19"/>
      <c r="N50" s="19" t="s">
        <v>35</v>
      </c>
      <c r="O50" s="10"/>
      <c r="P50" s="10"/>
      <c r="Q50" s="10"/>
      <c r="R50" s="10"/>
      <c r="S50" s="10"/>
      <c r="T50" s="19"/>
      <c r="U50" s="19"/>
      <c r="V50" s="19"/>
      <c r="W50" s="19"/>
      <c r="X50" s="19"/>
      <c r="Y50" s="19" t="s">
        <v>37</v>
      </c>
      <c r="Z50" s="10"/>
      <c r="AA50" s="10"/>
      <c r="AB50" s="10"/>
      <c r="AC50" s="10"/>
      <c r="AD50" s="10"/>
      <c r="AE50" s="10"/>
      <c r="AF50" s="19"/>
      <c r="AG50" s="19"/>
      <c r="AH50" s="19"/>
      <c r="AI50" s="16"/>
      <c r="AJ50" s="17"/>
    </row>
    <row r="51" spans="1:52" x14ac:dyDescent="0.15">
      <c r="A51" s="227"/>
      <c r="B51" s="228"/>
      <c r="D51" s="221" t="s">
        <v>17</v>
      </c>
      <c r="E51" s="221"/>
      <c r="F51" s="221"/>
      <c r="G51" s="221"/>
      <c r="H51" s="221"/>
      <c r="I51" s="221"/>
      <c r="J51" s="221"/>
      <c r="K51" s="221"/>
      <c r="L51" s="221"/>
      <c r="M51" s="14"/>
      <c r="N51" s="221" t="s">
        <v>17</v>
      </c>
      <c r="O51" s="221"/>
      <c r="P51" s="221"/>
      <c r="Q51" s="221"/>
      <c r="R51" s="221"/>
      <c r="S51" s="221"/>
      <c r="T51" s="221"/>
      <c r="U51" s="221"/>
      <c r="V51" s="221"/>
      <c r="W51" s="14"/>
      <c r="X51" s="14"/>
      <c r="Y51" s="221" t="s">
        <v>17</v>
      </c>
      <c r="Z51" s="221"/>
      <c r="AA51" s="221"/>
      <c r="AB51" s="221"/>
      <c r="AC51" s="221"/>
      <c r="AD51" s="221"/>
      <c r="AE51" s="221"/>
      <c r="AF51" s="221"/>
      <c r="AG51" s="221"/>
      <c r="AI51" s="40"/>
      <c r="AJ51" s="41"/>
    </row>
    <row r="52" spans="1:52" x14ac:dyDescent="0.15">
      <c r="A52" s="227"/>
      <c r="B52" s="228"/>
      <c r="D52" s="221"/>
      <c r="E52" s="221"/>
      <c r="F52" s="221"/>
      <c r="G52" s="221"/>
      <c r="H52" s="221"/>
      <c r="I52" s="221"/>
      <c r="J52" s="221"/>
      <c r="K52" s="221"/>
      <c r="L52" s="221"/>
      <c r="M52" s="14"/>
      <c r="N52" s="221"/>
      <c r="O52" s="221"/>
      <c r="P52" s="221"/>
      <c r="Q52" s="221"/>
      <c r="R52" s="221"/>
      <c r="S52" s="221"/>
      <c r="T52" s="221"/>
      <c r="U52" s="221"/>
      <c r="V52" s="221"/>
      <c r="W52" s="14"/>
      <c r="X52" s="14"/>
      <c r="Y52" s="221"/>
      <c r="Z52" s="221"/>
      <c r="AA52" s="221"/>
      <c r="AB52" s="221"/>
      <c r="AC52" s="221"/>
      <c r="AD52" s="221"/>
      <c r="AE52" s="221"/>
      <c r="AF52" s="221"/>
      <c r="AG52" s="221"/>
      <c r="AI52" s="22"/>
      <c r="AJ52" s="23"/>
    </row>
    <row r="53" spans="1:52" x14ac:dyDescent="0.15">
      <c r="A53" s="227"/>
      <c r="B53" s="228"/>
      <c r="D53" s="166" t="s">
        <v>57</v>
      </c>
      <c r="E53" s="167"/>
      <c r="F53" s="168"/>
      <c r="G53" s="166" t="s">
        <v>0</v>
      </c>
      <c r="H53" s="167"/>
      <c r="I53" s="168"/>
      <c r="J53" s="166" t="s">
        <v>16</v>
      </c>
      <c r="K53" s="167"/>
      <c r="L53" s="168"/>
      <c r="M53" s="14"/>
      <c r="N53" s="166" t="s">
        <v>18</v>
      </c>
      <c r="O53" s="167"/>
      <c r="P53" s="168"/>
      <c r="Q53" s="166" t="s">
        <v>16</v>
      </c>
      <c r="R53" s="167"/>
      <c r="S53" s="168"/>
      <c r="T53" s="14"/>
      <c r="U53" s="14"/>
      <c r="V53" s="14"/>
      <c r="W53" s="14"/>
      <c r="X53" s="14"/>
      <c r="Y53" s="166" t="s">
        <v>36</v>
      </c>
      <c r="Z53" s="167"/>
      <c r="AA53" s="168"/>
      <c r="AB53" s="166" t="s">
        <v>20</v>
      </c>
      <c r="AC53" s="167"/>
      <c r="AD53" s="167"/>
      <c r="AE53" s="167"/>
      <c r="AF53" s="167"/>
      <c r="AG53" s="167"/>
      <c r="AH53" s="167"/>
      <c r="AI53" s="167"/>
      <c r="AJ53" s="168"/>
    </row>
    <row r="54" spans="1:52" x14ac:dyDescent="0.15">
      <c r="A54" s="227"/>
      <c r="B54" s="228"/>
      <c r="D54" s="158"/>
      <c r="E54" s="159"/>
      <c r="F54" s="160"/>
      <c r="G54" s="158"/>
      <c r="H54" s="159"/>
      <c r="I54" s="160"/>
      <c r="J54" s="158"/>
      <c r="K54" s="159"/>
      <c r="L54" s="160"/>
      <c r="M54" s="14"/>
      <c r="N54" s="158"/>
      <c r="O54" s="159"/>
      <c r="P54" s="160"/>
      <c r="Q54" s="158"/>
      <c r="R54" s="159"/>
      <c r="S54" s="160"/>
      <c r="T54" s="40"/>
      <c r="U54" s="40"/>
      <c r="V54" s="40"/>
      <c r="W54" s="40"/>
      <c r="X54" s="40"/>
      <c r="Y54" s="107"/>
      <c r="Z54" s="108"/>
      <c r="AA54" s="109"/>
      <c r="AB54" s="15"/>
      <c r="AC54" s="16"/>
      <c r="AD54" s="16"/>
      <c r="AE54" s="16"/>
      <c r="AF54" s="16"/>
      <c r="AG54" s="16"/>
      <c r="AH54" s="16"/>
      <c r="AI54" s="16"/>
      <c r="AJ54" s="17"/>
    </row>
    <row r="55" spans="1:52" x14ac:dyDescent="0.15">
      <c r="A55" s="227"/>
      <c r="B55" s="228"/>
      <c r="D55" s="161"/>
      <c r="E55" s="162"/>
      <c r="F55" s="163"/>
      <c r="G55" s="161"/>
      <c r="H55" s="162"/>
      <c r="I55" s="163"/>
      <c r="J55" s="161"/>
      <c r="K55" s="162"/>
      <c r="L55" s="163"/>
      <c r="M55" s="14"/>
      <c r="N55" s="161"/>
      <c r="O55" s="162"/>
      <c r="P55" s="163"/>
      <c r="Q55" s="161"/>
      <c r="R55" s="162"/>
      <c r="S55" s="163"/>
      <c r="T55" s="40"/>
      <c r="U55" s="40"/>
      <c r="V55" s="40"/>
      <c r="W55" s="40"/>
      <c r="X55" s="40"/>
      <c r="Y55" s="110"/>
      <c r="Z55" s="111"/>
      <c r="AA55" s="112"/>
      <c r="AB55" s="42"/>
      <c r="AC55" s="40"/>
      <c r="AD55" s="40"/>
      <c r="AE55" s="40"/>
      <c r="AF55" s="40"/>
      <c r="AG55" s="40"/>
      <c r="AH55" s="40"/>
      <c r="AI55" s="40"/>
      <c r="AJ55" s="41"/>
    </row>
    <row r="56" spans="1:52" ht="13.65" customHeight="1" x14ac:dyDescent="0.15">
      <c r="A56" s="227"/>
      <c r="B56" s="228"/>
      <c r="D56" s="164"/>
      <c r="E56" s="131"/>
      <c r="F56" s="165"/>
      <c r="G56" s="164"/>
      <c r="H56" s="131"/>
      <c r="I56" s="165"/>
      <c r="J56" s="164"/>
      <c r="K56" s="131"/>
      <c r="L56" s="165"/>
      <c r="M56" s="14"/>
      <c r="N56" s="164"/>
      <c r="O56" s="131"/>
      <c r="P56" s="165"/>
      <c r="Q56" s="164"/>
      <c r="R56" s="131"/>
      <c r="S56" s="165"/>
      <c r="T56" s="40"/>
      <c r="U56" s="40"/>
      <c r="V56" s="40"/>
      <c r="W56" s="40"/>
      <c r="X56" s="40"/>
      <c r="Y56" s="113"/>
      <c r="Z56" s="114"/>
      <c r="AA56" s="115"/>
      <c r="AB56" s="21"/>
      <c r="AC56" s="22"/>
      <c r="AD56" s="22"/>
      <c r="AE56" s="22"/>
      <c r="AF56" s="22"/>
      <c r="AG56" s="22"/>
      <c r="AH56" s="22"/>
      <c r="AI56" s="22"/>
      <c r="AJ56" s="23"/>
    </row>
    <row r="57" spans="1:52" x14ac:dyDescent="0.15">
      <c r="A57" s="227"/>
      <c r="B57" s="228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43"/>
      <c r="Z57" s="43"/>
      <c r="AA57" s="43"/>
      <c r="AB57" s="43"/>
      <c r="AC57" s="43"/>
      <c r="AD57" s="43"/>
      <c r="AE57" s="27"/>
      <c r="AF57" s="27"/>
      <c r="AG57" s="27"/>
      <c r="AH57" s="27"/>
      <c r="AI57" s="27"/>
      <c r="AJ57" s="28"/>
    </row>
    <row r="58" spans="1:52" x14ac:dyDescent="0.15">
      <c r="A58" s="227"/>
      <c r="B58" s="228"/>
      <c r="C58" s="108" t="s">
        <v>38</v>
      </c>
      <c r="D58" s="108"/>
      <c r="E58" s="108"/>
      <c r="F58" s="109"/>
      <c r="G58" s="107" t="s">
        <v>54</v>
      </c>
      <c r="H58" s="108"/>
      <c r="I58" s="108"/>
      <c r="J58" s="108"/>
      <c r="K58" s="108"/>
      <c r="L58" s="108"/>
      <c r="M58" s="108" t="s">
        <v>58</v>
      </c>
      <c r="N58" s="108"/>
      <c r="O58" s="108"/>
      <c r="P58" s="108"/>
      <c r="Q58" s="108"/>
      <c r="R58" s="108"/>
      <c r="S58" s="108"/>
      <c r="T58" s="108"/>
      <c r="U58" s="108" t="s">
        <v>59</v>
      </c>
      <c r="V58" s="108"/>
      <c r="W58" s="108"/>
      <c r="X58" s="108"/>
      <c r="Y58" s="108"/>
      <c r="Z58" s="108"/>
      <c r="AA58" s="231" t="s">
        <v>19</v>
      </c>
      <c r="AB58" s="231"/>
      <c r="AC58" s="231"/>
      <c r="AD58" s="231"/>
      <c r="AE58" s="231"/>
      <c r="AF58" s="231"/>
      <c r="AG58" s="19"/>
      <c r="AH58" s="19"/>
      <c r="AI58" s="19"/>
      <c r="AJ58" s="20"/>
    </row>
    <row r="59" spans="1:52" x14ac:dyDescent="0.15">
      <c r="A59" s="229"/>
      <c r="B59" s="230"/>
      <c r="C59" s="114"/>
      <c r="D59" s="114"/>
      <c r="E59" s="114"/>
      <c r="F59" s="115"/>
      <c r="G59" s="113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232"/>
      <c r="AB59" s="232"/>
      <c r="AC59" s="232"/>
      <c r="AD59" s="232"/>
      <c r="AE59" s="232"/>
      <c r="AF59" s="232"/>
      <c r="AG59" s="27"/>
      <c r="AH59" s="27"/>
      <c r="AI59" s="27"/>
      <c r="AJ59" s="28"/>
    </row>
    <row r="60" spans="1:52" x14ac:dyDescent="0.15">
      <c r="A60" s="14"/>
      <c r="B60" s="14"/>
      <c r="C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52" ht="23.25" customHeight="1" x14ac:dyDescent="0.2">
      <c r="A61" s="45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</row>
  </sheetData>
  <sheetProtection algorithmName="SHA-512" hashValue="9lQ7yzdJ3ZHx31m2FKa2eJMWvmZpbUdLxlXcIaFFlOnY/nySfmypPz234IiDWWwQzOsNLUYu5jagWhzkxpCxrQ==" saltValue="hC51puwMTd8y2oxdG3bnPw==" spinCount="100000" sheet="1"/>
  <mergeCells count="165">
    <mergeCell ref="A39:F39"/>
    <mergeCell ref="A40:F40"/>
    <mergeCell ref="A41:F42"/>
    <mergeCell ref="A23:F23"/>
    <mergeCell ref="A38:F38"/>
    <mergeCell ref="A36:F37"/>
    <mergeCell ref="A19:F19"/>
    <mergeCell ref="L32:X32"/>
    <mergeCell ref="AE3:AJ3"/>
    <mergeCell ref="A5:C7"/>
    <mergeCell ref="AF12:AJ12"/>
    <mergeCell ref="AF15:AJ15"/>
    <mergeCell ref="Y10:AE18"/>
    <mergeCell ref="D4:F4"/>
    <mergeCell ref="A4:C4"/>
    <mergeCell ref="G4:I7"/>
    <mergeCell ref="J5:M7"/>
    <mergeCell ref="AF14:AJ14"/>
    <mergeCell ref="G10:I11"/>
    <mergeCell ref="J10:W11"/>
    <mergeCell ref="G12:H12"/>
    <mergeCell ref="A9:F9"/>
    <mergeCell ref="G14:X14"/>
    <mergeCell ref="G18:K18"/>
    <mergeCell ref="A43:F43"/>
    <mergeCell ref="A31:F31"/>
    <mergeCell ref="A32:F32"/>
    <mergeCell ref="A22:F22"/>
    <mergeCell ref="AD19:AJ19"/>
    <mergeCell ref="A24:F25"/>
    <mergeCell ref="A26:F26"/>
    <mergeCell ref="A21:F21"/>
    <mergeCell ref="G21:X21"/>
    <mergeCell ref="A34:F34"/>
    <mergeCell ref="A35:F35"/>
    <mergeCell ref="G28:X28"/>
    <mergeCell ref="G27:X27"/>
    <mergeCell ref="A28:F28"/>
    <mergeCell ref="A29:F30"/>
    <mergeCell ref="Y20:Z20"/>
    <mergeCell ref="AF27:AJ27"/>
    <mergeCell ref="A33:F33"/>
    <mergeCell ref="A20:F20"/>
    <mergeCell ref="G25:X25"/>
    <mergeCell ref="G26:X26"/>
    <mergeCell ref="G29:X29"/>
    <mergeCell ref="G30:K30"/>
    <mergeCell ref="AD31:AJ31"/>
    <mergeCell ref="G58:L59"/>
    <mergeCell ref="D51:L52"/>
    <mergeCell ref="J53:L53"/>
    <mergeCell ref="N51:V52"/>
    <mergeCell ref="Y46:AJ46"/>
    <mergeCell ref="A50:B59"/>
    <mergeCell ref="C49:E49"/>
    <mergeCell ref="C58:F59"/>
    <mergeCell ref="P49:R49"/>
    <mergeCell ref="F49:H49"/>
    <mergeCell ref="M58:T59"/>
    <mergeCell ref="U58:Z59"/>
    <mergeCell ref="AA58:AF59"/>
    <mergeCell ref="N53:P53"/>
    <mergeCell ref="D54:F56"/>
    <mergeCell ref="G54:I56"/>
    <mergeCell ref="J54:L56"/>
    <mergeCell ref="N54:P56"/>
    <mergeCell ref="D53:F53"/>
    <mergeCell ref="G53:I53"/>
    <mergeCell ref="Y51:AG52"/>
    <mergeCell ref="Q53:S53"/>
    <mergeCell ref="A2:AJ2"/>
    <mergeCell ref="D5:F7"/>
    <mergeCell ref="R4:AD4"/>
    <mergeCell ref="AE4:AJ4"/>
    <mergeCell ref="AE5:AJ7"/>
    <mergeCell ref="I24:X24"/>
    <mergeCell ref="Y9:AE9"/>
    <mergeCell ref="AF9:AJ9"/>
    <mergeCell ref="AB5:AD7"/>
    <mergeCell ref="AF13:AJ13"/>
    <mergeCell ref="Y19:Z19"/>
    <mergeCell ref="AD20:AJ20"/>
    <mergeCell ref="AA19:AB19"/>
    <mergeCell ref="AA20:AB20"/>
    <mergeCell ref="AF23:AJ23"/>
    <mergeCell ref="Y21:AE21"/>
    <mergeCell ref="AF21:AJ21"/>
    <mergeCell ref="G9:X9"/>
    <mergeCell ref="J4:M4"/>
    <mergeCell ref="AF24:AJ24"/>
    <mergeCell ref="G22:I23"/>
    <mergeCell ref="J22:W23"/>
    <mergeCell ref="G24:H24"/>
    <mergeCell ref="AF11:AJ11"/>
    <mergeCell ref="G17:X17"/>
    <mergeCell ref="G15:X15"/>
    <mergeCell ref="G13:X13"/>
    <mergeCell ref="I12:X12"/>
    <mergeCell ref="L18:X18"/>
    <mergeCell ref="L19:X19"/>
    <mergeCell ref="L20:X20"/>
    <mergeCell ref="G19:K19"/>
    <mergeCell ref="G20:K20"/>
    <mergeCell ref="L30:X30"/>
    <mergeCell ref="AF25:AJ25"/>
    <mergeCell ref="AF26:AJ26"/>
    <mergeCell ref="Y22:AE30"/>
    <mergeCell ref="A27:F27"/>
    <mergeCell ref="Y32:Z32"/>
    <mergeCell ref="AA32:AB32"/>
    <mergeCell ref="G31:K31"/>
    <mergeCell ref="L31:X31"/>
    <mergeCell ref="Y31:Z31"/>
    <mergeCell ref="AA31:AB31"/>
    <mergeCell ref="AD32:AJ32"/>
    <mergeCell ref="G33:X33"/>
    <mergeCell ref="G38:X38"/>
    <mergeCell ref="Y33:AE33"/>
    <mergeCell ref="AF33:AJ33"/>
    <mergeCell ref="AF36:AJ36"/>
    <mergeCell ref="AF37:AJ37"/>
    <mergeCell ref="G36:H36"/>
    <mergeCell ref="I36:X36"/>
    <mergeCell ref="G32:K32"/>
    <mergeCell ref="G42:K42"/>
    <mergeCell ref="L42:X42"/>
    <mergeCell ref="AF38:AJ38"/>
    <mergeCell ref="G37:X37"/>
    <mergeCell ref="AF39:AJ39"/>
    <mergeCell ref="G40:X40"/>
    <mergeCell ref="G41:X41"/>
    <mergeCell ref="AD43:AJ43"/>
    <mergeCell ref="G43:K43"/>
    <mergeCell ref="L43:X43"/>
    <mergeCell ref="Y43:Z43"/>
    <mergeCell ref="AA43:AB43"/>
    <mergeCell ref="Y34:AE42"/>
    <mergeCell ref="AF35:AJ35"/>
    <mergeCell ref="G39:X39"/>
    <mergeCell ref="G34:I35"/>
    <mergeCell ref="J34:W35"/>
    <mergeCell ref="N4:Q4"/>
    <mergeCell ref="N5:Q7"/>
    <mergeCell ref="R5:AA7"/>
    <mergeCell ref="G16:X16"/>
    <mergeCell ref="Y54:AA56"/>
    <mergeCell ref="A10:F10"/>
    <mergeCell ref="A11:F11"/>
    <mergeCell ref="A12:F13"/>
    <mergeCell ref="A14:F14"/>
    <mergeCell ref="A15:F15"/>
    <mergeCell ref="A16:F16"/>
    <mergeCell ref="I49:K49"/>
    <mergeCell ref="M49:O49"/>
    <mergeCell ref="Y44:Z44"/>
    <mergeCell ref="A17:F18"/>
    <mergeCell ref="G44:K44"/>
    <mergeCell ref="L44:X44"/>
    <mergeCell ref="A44:F44"/>
    <mergeCell ref="AA44:AB44"/>
    <mergeCell ref="Y47:AJ48"/>
    <mergeCell ref="AD44:AJ44"/>
    <mergeCell ref="Q54:S56"/>
    <mergeCell ref="AB53:AJ53"/>
    <mergeCell ref="Y53:AA53"/>
  </mergeCells>
  <phoneticPr fontId="2"/>
  <dataValidations disablePrompts="1" count="2">
    <dataValidation type="list" showInputMessage="1" showErrorMessage="1" sqref="J5:M7 A39:F39 A15:F15 A27:F27" xr:uid="{00000000-0002-0000-0000-000000000000}">
      <formula1>部門</formula1>
    </dataValidation>
    <dataValidation type="list" allowBlank="1" showInputMessage="1" showErrorMessage="1" sqref="A41:F42 A17:F18 A29:F30" xr:uid="{00000000-0002-0000-0000-000001000000}">
      <formula1>プロジェクトコードと名称</formula1>
    </dataValidation>
  </dataValidations>
  <pageMargins left="0.47244094488188981" right="0.39370078740157483" top="0.59055118110236227" bottom="0.39370078740157483" header="0.59055118110236227" footer="0.31496062992125984"/>
  <pageSetup paperSize="9" scale="91" orientation="portrait" r:id="rId1"/>
  <headerFooter alignWithMargins="0">
    <oddFooter>&amp;RVer.2025-04</oddFooter>
  </headerFooter>
  <drawing r:id="rId2"/>
  <legacyDrawing r:id="rId3"/>
  <controls>
    <mc:AlternateContent xmlns:mc="http://schemas.openxmlformats.org/markup-compatibility/2006">
      <mc:Choice Requires="x14">
        <control shapeId="6150" r:id="rId4" name="ComboBox3">
          <controlPr defaultSize="0" autoLine="0" linkedCell="J34" listFillRange="科目摘要" r:id="rId5">
            <anchor moveWithCells="1">
              <from>
                <xdr:col>23</xdr:col>
                <xdr:colOff>0</xdr:colOff>
                <xdr:row>33</xdr:row>
                <xdr:rowOff>7620</xdr:rowOff>
              </from>
              <to>
                <xdr:col>24</xdr:col>
                <xdr:colOff>0</xdr:colOff>
                <xdr:row>35</xdr:row>
                <xdr:rowOff>7620</xdr:rowOff>
              </to>
            </anchor>
          </controlPr>
        </control>
      </mc:Choice>
      <mc:Fallback>
        <control shapeId="6150" r:id="rId4" name="ComboBox3"/>
      </mc:Fallback>
    </mc:AlternateContent>
    <mc:AlternateContent xmlns:mc="http://schemas.openxmlformats.org/markup-compatibility/2006">
      <mc:Choice Requires="x14">
        <control shapeId="6149" r:id="rId6" name="ComboBox2">
          <controlPr defaultSize="0" autoLine="0" linkedCell="J22" listFillRange="科目摘要" r:id="rId5">
            <anchor moveWithCells="1">
              <from>
                <xdr:col>23</xdr:col>
                <xdr:colOff>0</xdr:colOff>
                <xdr:row>21</xdr:row>
                <xdr:rowOff>7620</xdr:rowOff>
              </from>
              <to>
                <xdr:col>24</xdr:col>
                <xdr:colOff>0</xdr:colOff>
                <xdr:row>23</xdr:row>
                <xdr:rowOff>7620</xdr:rowOff>
              </to>
            </anchor>
          </controlPr>
        </control>
      </mc:Choice>
      <mc:Fallback>
        <control shapeId="6149" r:id="rId6" name="ComboBox2"/>
      </mc:Fallback>
    </mc:AlternateContent>
    <mc:AlternateContent xmlns:mc="http://schemas.openxmlformats.org/markup-compatibility/2006">
      <mc:Choice Requires="x14">
        <control shapeId="6145" r:id="rId7" name="ComboBox1">
          <controlPr defaultSize="0" autoLine="0" linkedCell="J10" listFillRange="科目摘要" r:id="rId5">
            <anchor moveWithCells="1">
              <from>
                <xdr:col>23</xdr:col>
                <xdr:colOff>0</xdr:colOff>
                <xdr:row>9</xdr:row>
                <xdr:rowOff>7620</xdr:rowOff>
              </from>
              <to>
                <xdr:col>24</xdr:col>
                <xdr:colOff>0</xdr:colOff>
                <xdr:row>11</xdr:row>
                <xdr:rowOff>7620</xdr:rowOff>
              </to>
            </anchor>
          </controlPr>
        </control>
      </mc:Choice>
      <mc:Fallback>
        <control shapeId="6145" r:id="rId7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2:BL60"/>
  <sheetViews>
    <sheetView showGridLines="0" view="pageBreakPreview" zoomScaleNormal="100" workbookViewId="0"/>
  </sheetViews>
  <sheetFormatPr defaultColWidth="2.5546875" defaultRowHeight="12" x14ac:dyDescent="0.15"/>
  <cols>
    <col min="1" max="1" width="15.5546875" style="1" customWidth="1"/>
    <col min="2" max="16384" width="2.5546875" style="1"/>
  </cols>
  <sheetData>
    <row r="2" spans="2:64" ht="26.25" customHeight="1" x14ac:dyDescent="0.25">
      <c r="B2" s="201" t="s">
        <v>48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</row>
    <row r="3" spans="2:64" ht="8.25" customHeight="1" x14ac:dyDescent="0.15"/>
    <row r="4" spans="2:64" ht="13.65" customHeight="1" x14ac:dyDescent="0.15">
      <c r="B4" s="92" t="s">
        <v>34</v>
      </c>
      <c r="C4" s="93"/>
      <c r="D4" s="94"/>
      <c r="E4" s="92" t="s">
        <v>0</v>
      </c>
      <c r="F4" s="93"/>
      <c r="G4" s="94"/>
      <c r="H4" s="234" t="s">
        <v>1</v>
      </c>
      <c r="I4" s="235"/>
      <c r="J4" s="236"/>
      <c r="K4" s="92" t="s">
        <v>41</v>
      </c>
      <c r="L4" s="93"/>
      <c r="M4" s="93"/>
      <c r="N4" s="94"/>
      <c r="O4" s="92" t="s">
        <v>2</v>
      </c>
      <c r="P4" s="93"/>
      <c r="Q4" s="93"/>
      <c r="R4" s="94"/>
      <c r="S4" s="92" t="s">
        <v>40</v>
      </c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4"/>
      <c r="AF4" s="92" t="s">
        <v>4</v>
      </c>
      <c r="AG4" s="93"/>
      <c r="AH4" s="93"/>
      <c r="AI4" s="93"/>
      <c r="AJ4" s="93"/>
      <c r="AK4" s="94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spans="2:64" ht="13.65" customHeight="1" x14ac:dyDescent="0.15">
      <c r="B5" s="158"/>
      <c r="C5" s="159"/>
      <c r="D5" s="160"/>
      <c r="E5" s="158"/>
      <c r="F5" s="159"/>
      <c r="G5" s="160"/>
      <c r="H5" s="237"/>
      <c r="I5" s="238"/>
      <c r="J5" s="239"/>
      <c r="K5" s="270" t="s">
        <v>44</v>
      </c>
      <c r="L5" s="271"/>
      <c r="M5" s="271"/>
      <c r="N5" s="272"/>
      <c r="O5" s="95">
        <v>330</v>
      </c>
      <c r="P5" s="96"/>
      <c r="Q5" s="96"/>
      <c r="R5" s="97"/>
      <c r="S5" s="95" t="s">
        <v>49</v>
      </c>
      <c r="T5" s="96"/>
      <c r="U5" s="96"/>
      <c r="V5" s="96"/>
      <c r="W5" s="96"/>
      <c r="X5" s="96"/>
      <c r="Y5" s="96"/>
      <c r="Z5" s="96"/>
      <c r="AA5" s="96"/>
      <c r="AB5" s="97"/>
      <c r="AC5" s="212" t="s">
        <v>3</v>
      </c>
      <c r="AD5" s="213"/>
      <c r="AE5" s="214"/>
      <c r="AF5" s="202">
        <f ca="1">NOW()</f>
        <v>45761.590506250002</v>
      </c>
      <c r="AG5" s="203"/>
      <c r="AH5" s="203"/>
      <c r="AI5" s="203"/>
      <c r="AJ5" s="203"/>
      <c r="AK5" s="204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</row>
    <row r="6" spans="2:64" x14ac:dyDescent="0.15">
      <c r="B6" s="161"/>
      <c r="C6" s="162"/>
      <c r="D6" s="163"/>
      <c r="E6" s="161"/>
      <c r="F6" s="162"/>
      <c r="G6" s="163"/>
      <c r="H6" s="237"/>
      <c r="I6" s="238"/>
      <c r="J6" s="239"/>
      <c r="K6" s="273"/>
      <c r="L6" s="274"/>
      <c r="M6" s="274"/>
      <c r="N6" s="275"/>
      <c r="O6" s="98"/>
      <c r="P6" s="99"/>
      <c r="Q6" s="99"/>
      <c r="R6" s="100"/>
      <c r="S6" s="98"/>
      <c r="T6" s="99"/>
      <c r="U6" s="99"/>
      <c r="V6" s="99"/>
      <c r="W6" s="99"/>
      <c r="X6" s="99"/>
      <c r="Y6" s="99"/>
      <c r="Z6" s="99"/>
      <c r="AA6" s="99"/>
      <c r="AB6" s="100"/>
      <c r="AC6" s="215"/>
      <c r="AD6" s="216"/>
      <c r="AE6" s="217"/>
      <c r="AF6" s="205"/>
      <c r="AG6" s="206"/>
      <c r="AH6" s="206"/>
      <c r="AI6" s="206"/>
      <c r="AJ6" s="206"/>
      <c r="AK6" s="207"/>
      <c r="AS6" s="11"/>
      <c r="AT6" s="12"/>
      <c r="AU6" s="9"/>
      <c r="AV6" s="9"/>
      <c r="AW6" s="9"/>
      <c r="AX6" s="9"/>
      <c r="AY6" s="9"/>
      <c r="AZ6" s="9"/>
      <c r="BA6" s="9"/>
      <c r="BB6" s="9"/>
      <c r="BC6" s="9"/>
      <c r="BL6" s="9"/>
    </row>
    <row r="7" spans="2:64" x14ac:dyDescent="0.15">
      <c r="B7" s="164"/>
      <c r="C7" s="131"/>
      <c r="D7" s="165"/>
      <c r="E7" s="164"/>
      <c r="F7" s="131"/>
      <c r="G7" s="165"/>
      <c r="H7" s="240"/>
      <c r="I7" s="241"/>
      <c r="J7" s="242"/>
      <c r="K7" s="276"/>
      <c r="L7" s="277"/>
      <c r="M7" s="277"/>
      <c r="N7" s="278"/>
      <c r="O7" s="101"/>
      <c r="P7" s="102"/>
      <c r="Q7" s="102"/>
      <c r="R7" s="103"/>
      <c r="S7" s="101"/>
      <c r="T7" s="102"/>
      <c r="U7" s="102"/>
      <c r="V7" s="102"/>
      <c r="W7" s="102"/>
      <c r="X7" s="102"/>
      <c r="Y7" s="102"/>
      <c r="Z7" s="102"/>
      <c r="AA7" s="102"/>
      <c r="AB7" s="103"/>
      <c r="AC7" s="218"/>
      <c r="AD7" s="219"/>
      <c r="AE7" s="220"/>
      <c r="AF7" s="208"/>
      <c r="AG7" s="209"/>
      <c r="AH7" s="209"/>
      <c r="AI7" s="209"/>
      <c r="AJ7" s="209"/>
      <c r="AK7" s="210"/>
      <c r="AS7" s="13"/>
      <c r="AT7" s="12"/>
      <c r="AU7" s="9"/>
      <c r="AV7" s="9"/>
      <c r="AW7" s="9"/>
      <c r="AX7" s="9"/>
      <c r="AY7" s="9"/>
      <c r="AZ7" s="9"/>
      <c r="BA7" s="9"/>
      <c r="BB7" s="9"/>
      <c r="BC7" s="9"/>
      <c r="BE7" s="9"/>
      <c r="BL7" s="9"/>
    </row>
    <row r="8" spans="2:64" x14ac:dyDescent="0.1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S8" s="13"/>
      <c r="AT8" s="12"/>
      <c r="AU8" s="9"/>
      <c r="AV8" s="9"/>
      <c r="AW8" s="9"/>
      <c r="AX8" s="9"/>
      <c r="AY8" s="9"/>
      <c r="AZ8" s="9"/>
      <c r="BA8" s="9"/>
      <c r="BB8" s="9"/>
      <c r="BC8" s="9"/>
      <c r="BE8" s="9"/>
      <c r="BL8" s="9"/>
    </row>
    <row r="9" spans="2:64" ht="15" customHeight="1" x14ac:dyDescent="0.15">
      <c r="B9" s="92" t="s">
        <v>5</v>
      </c>
      <c r="C9" s="93"/>
      <c r="D9" s="93"/>
      <c r="E9" s="93"/>
      <c r="F9" s="93"/>
      <c r="G9" s="94"/>
      <c r="H9" s="92" t="s">
        <v>6</v>
      </c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4"/>
      <c r="Z9" s="92" t="s">
        <v>12</v>
      </c>
      <c r="AA9" s="93"/>
      <c r="AB9" s="93"/>
      <c r="AC9" s="93"/>
      <c r="AD9" s="93"/>
      <c r="AE9" s="93"/>
      <c r="AF9" s="94"/>
      <c r="AG9" s="92" t="s">
        <v>15</v>
      </c>
      <c r="AH9" s="93"/>
      <c r="AI9" s="93"/>
      <c r="AJ9" s="93"/>
      <c r="AK9" s="94"/>
      <c r="AS9" s="13"/>
      <c r="AT9" s="12"/>
      <c r="AU9" s="9"/>
      <c r="AV9" s="9"/>
      <c r="AW9" s="9"/>
      <c r="AX9" s="9"/>
      <c r="AY9" s="9"/>
      <c r="AZ9" s="9"/>
      <c r="BA9" s="9"/>
      <c r="BB9" s="9"/>
      <c r="BC9" s="9"/>
      <c r="BE9" s="9"/>
      <c r="BL9" s="9"/>
    </row>
    <row r="10" spans="2:64" ht="15" customHeight="1" x14ac:dyDescent="0.15">
      <c r="B10" s="252">
        <v>39072</v>
      </c>
      <c r="C10" s="253"/>
      <c r="D10" s="253"/>
      <c r="E10" s="253"/>
      <c r="F10" s="253"/>
      <c r="G10" s="254"/>
      <c r="H10" s="107" t="s">
        <v>29</v>
      </c>
      <c r="I10" s="108"/>
      <c r="J10" s="109"/>
      <c r="K10" s="193" t="s">
        <v>28</v>
      </c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4"/>
      <c r="Z10" s="181">
        <v>18000</v>
      </c>
      <c r="AA10" s="182"/>
      <c r="AB10" s="182"/>
      <c r="AC10" s="182"/>
      <c r="AD10" s="182"/>
      <c r="AE10" s="182"/>
      <c r="AF10" s="183"/>
      <c r="AG10" s="18"/>
      <c r="AH10" s="19"/>
      <c r="AI10" s="19"/>
      <c r="AJ10" s="19"/>
      <c r="AK10" s="20"/>
      <c r="BL10" s="9"/>
    </row>
    <row r="11" spans="2:64" ht="15" customHeight="1" x14ac:dyDescent="0.15">
      <c r="B11" s="92" t="s">
        <v>7</v>
      </c>
      <c r="C11" s="93"/>
      <c r="D11" s="93"/>
      <c r="E11" s="93"/>
      <c r="F11" s="93"/>
      <c r="G11" s="94"/>
      <c r="H11" s="113"/>
      <c r="I11" s="114"/>
      <c r="J11" s="115"/>
      <c r="K11" s="195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4"/>
      <c r="Z11" s="184"/>
      <c r="AA11" s="185"/>
      <c r="AB11" s="185"/>
      <c r="AC11" s="185"/>
      <c r="AD11" s="185"/>
      <c r="AE11" s="185"/>
      <c r="AF11" s="186"/>
      <c r="AG11" s="190" t="str">
        <f>IF(ISERROR(VLOOKUP(K10,科目一覧,3,FALSE)),"",VLOOKUP(K10,科目一覧,3,FALSE))</f>
        <v>020</v>
      </c>
      <c r="AH11" s="191"/>
      <c r="AI11" s="191"/>
      <c r="AJ11" s="191"/>
      <c r="AK11" s="192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</row>
    <row r="12" spans="2:64" ht="15" customHeight="1" x14ac:dyDescent="0.15">
      <c r="B12" s="95" t="s">
        <v>50</v>
      </c>
      <c r="C12" s="96"/>
      <c r="D12" s="96"/>
      <c r="E12" s="96"/>
      <c r="F12" s="96"/>
      <c r="G12" s="97"/>
      <c r="H12" s="197" t="s">
        <v>22</v>
      </c>
      <c r="I12" s="198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200"/>
      <c r="Z12" s="184"/>
      <c r="AA12" s="185"/>
      <c r="AB12" s="185"/>
      <c r="AC12" s="185"/>
      <c r="AD12" s="185"/>
      <c r="AE12" s="185"/>
      <c r="AF12" s="186"/>
      <c r="AG12" s="161" t="str">
        <f>IF(ISERROR(VLOOKUP(K10,科目一覧,4,FALSE)),"",VLOOKUP(K10,科目一覧,4,FALSE))</f>
        <v>会議費</v>
      </c>
      <c r="AH12" s="162"/>
      <c r="AI12" s="162"/>
      <c r="AJ12" s="162"/>
      <c r="AK12" s="163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</row>
    <row r="13" spans="2:64" ht="15" customHeight="1" x14ac:dyDescent="0.15">
      <c r="B13" s="101"/>
      <c r="C13" s="102"/>
      <c r="D13" s="102"/>
      <c r="E13" s="102"/>
      <c r="F13" s="102"/>
      <c r="G13" s="103"/>
      <c r="H13" s="104" t="s">
        <v>45</v>
      </c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6"/>
      <c r="Z13" s="184"/>
      <c r="AA13" s="185"/>
      <c r="AB13" s="185"/>
      <c r="AC13" s="185"/>
      <c r="AD13" s="185"/>
      <c r="AE13" s="185"/>
      <c r="AF13" s="186"/>
      <c r="AG13" s="172" t="str">
        <f>IF(K10="","",IF(VLOOKUP(K10,科目一覧,2,FALSE)="7180000001",IF(AE20&lt;=5250,"0011","0001"),IF(ISERROR(VLOOKUP(K10,科目一覧,5,FALSE)),"",VLOOKUP(K10,科目一覧,5,FALSE))))</f>
        <v>[製]会議費</v>
      </c>
      <c r="AH13" s="173"/>
      <c r="AI13" s="173"/>
      <c r="AJ13" s="173"/>
      <c r="AK13" s="174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</row>
    <row r="14" spans="2:64" ht="15" customHeight="1" x14ac:dyDescent="0.15">
      <c r="B14" s="92" t="s">
        <v>42</v>
      </c>
      <c r="C14" s="93"/>
      <c r="D14" s="93"/>
      <c r="E14" s="93"/>
      <c r="F14" s="93"/>
      <c r="G14" s="94"/>
      <c r="H14" s="104" t="s">
        <v>46</v>
      </c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6"/>
      <c r="Z14" s="184"/>
      <c r="AA14" s="185"/>
      <c r="AB14" s="185"/>
      <c r="AC14" s="185"/>
      <c r="AD14" s="185"/>
      <c r="AE14" s="185"/>
      <c r="AF14" s="186"/>
      <c r="AG14" s="161" t="str">
        <f>IF(K10="","",IF(ISERROR(VLOOKUP(AG11&amp;AG13,科目一覧2,5,FALSE)),"",VLOOKUP(AG11&amp;AG13,科目一覧2,5,FALSE)))</f>
        <v/>
      </c>
      <c r="AH14" s="162"/>
      <c r="AI14" s="162"/>
      <c r="AJ14" s="162"/>
      <c r="AK14" s="163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</row>
    <row r="15" spans="2:64" ht="15" customHeight="1" x14ac:dyDescent="0.15">
      <c r="B15" s="125"/>
      <c r="C15" s="126"/>
      <c r="D15" s="126"/>
      <c r="E15" s="126"/>
      <c r="F15" s="126"/>
      <c r="G15" s="127"/>
      <c r="H15" s="104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6"/>
      <c r="Z15" s="184"/>
      <c r="AA15" s="185"/>
      <c r="AB15" s="185"/>
      <c r="AC15" s="185"/>
      <c r="AD15" s="185"/>
      <c r="AE15" s="185"/>
      <c r="AF15" s="186"/>
      <c r="AG15" s="172"/>
      <c r="AH15" s="173"/>
      <c r="AI15" s="173"/>
      <c r="AJ15" s="173"/>
      <c r="AK15" s="174"/>
    </row>
    <row r="16" spans="2:64" ht="15" customHeight="1" x14ac:dyDescent="0.15">
      <c r="B16" s="128" t="s">
        <v>76</v>
      </c>
      <c r="C16" s="129"/>
      <c r="D16" s="129"/>
      <c r="E16" s="129"/>
      <c r="F16" s="129"/>
      <c r="G16" s="130"/>
      <c r="H16" s="104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6"/>
      <c r="Z16" s="184"/>
      <c r="AA16" s="185"/>
      <c r="AB16" s="185"/>
      <c r="AC16" s="185"/>
      <c r="AD16" s="185"/>
      <c r="AE16" s="185"/>
      <c r="AF16" s="186"/>
      <c r="AG16" s="24"/>
      <c r="AH16" s="14"/>
      <c r="AI16" s="14"/>
      <c r="AJ16" s="14"/>
      <c r="AK16" s="25"/>
    </row>
    <row r="17" spans="2:37" ht="15" customHeight="1" x14ac:dyDescent="0.15">
      <c r="B17" s="134"/>
      <c r="C17" s="135"/>
      <c r="D17" s="135"/>
      <c r="E17" s="135"/>
      <c r="F17" s="135"/>
      <c r="G17" s="136"/>
      <c r="H17" s="175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7"/>
      <c r="Z17" s="184"/>
      <c r="AA17" s="185"/>
      <c r="AB17" s="185"/>
      <c r="AC17" s="185"/>
      <c r="AD17" s="185"/>
      <c r="AE17" s="185"/>
      <c r="AF17" s="186"/>
      <c r="AG17" s="24"/>
      <c r="AH17" s="14"/>
      <c r="AI17" s="14"/>
      <c r="AJ17" s="14"/>
      <c r="AK17" s="25"/>
    </row>
    <row r="18" spans="2:37" ht="15" customHeight="1" x14ac:dyDescent="0.15">
      <c r="B18" s="137"/>
      <c r="C18" s="138"/>
      <c r="D18" s="138"/>
      <c r="E18" s="138"/>
      <c r="F18" s="138"/>
      <c r="G18" s="139"/>
      <c r="H18" s="92" t="s">
        <v>14</v>
      </c>
      <c r="I18" s="93"/>
      <c r="J18" s="93"/>
      <c r="K18" s="93"/>
      <c r="L18" s="94"/>
      <c r="M18" s="169" t="s">
        <v>47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1"/>
      <c r="Z18" s="187"/>
      <c r="AA18" s="188"/>
      <c r="AB18" s="188"/>
      <c r="AC18" s="188"/>
      <c r="AD18" s="188"/>
      <c r="AE18" s="188"/>
      <c r="AF18" s="189"/>
      <c r="AG18" s="26"/>
      <c r="AH18" s="27"/>
      <c r="AI18" s="27"/>
      <c r="AJ18" s="27"/>
      <c r="AK18" s="28"/>
    </row>
    <row r="19" spans="2:37" ht="15" customHeight="1" x14ac:dyDescent="0.15">
      <c r="B19" s="128" t="s">
        <v>75</v>
      </c>
      <c r="C19" s="129"/>
      <c r="D19" s="129"/>
      <c r="E19" s="129"/>
      <c r="F19" s="129"/>
      <c r="G19" s="130"/>
      <c r="H19" s="92" t="s">
        <v>33</v>
      </c>
      <c r="I19" s="93"/>
      <c r="J19" s="93"/>
      <c r="K19" s="93"/>
      <c r="L19" s="94"/>
      <c r="M19" s="169" t="s">
        <v>51</v>
      </c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1"/>
      <c r="Z19" s="178" t="s">
        <v>10</v>
      </c>
      <c r="AA19" s="180"/>
      <c r="AB19" s="169">
        <v>3</v>
      </c>
      <c r="AC19" s="170"/>
      <c r="AD19" s="29" t="s">
        <v>11</v>
      </c>
      <c r="AE19" s="178" t="s">
        <v>13</v>
      </c>
      <c r="AF19" s="179"/>
      <c r="AG19" s="179"/>
      <c r="AH19" s="179"/>
      <c r="AI19" s="179"/>
      <c r="AJ19" s="179"/>
      <c r="AK19" s="180"/>
    </row>
    <row r="20" spans="2:37" ht="15" customHeight="1" thickBot="1" x14ac:dyDescent="0.2">
      <c r="B20" s="146"/>
      <c r="C20" s="147"/>
      <c r="D20" s="147"/>
      <c r="E20" s="147"/>
      <c r="F20" s="147"/>
      <c r="G20" s="148"/>
      <c r="H20" s="140" t="s">
        <v>9</v>
      </c>
      <c r="I20" s="141"/>
      <c r="J20" s="141"/>
      <c r="K20" s="141"/>
      <c r="L20" s="142"/>
      <c r="M20" s="143" t="s">
        <v>52</v>
      </c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5"/>
      <c r="Z20" s="132" t="s">
        <v>10</v>
      </c>
      <c r="AA20" s="133"/>
      <c r="AB20" s="143">
        <v>3</v>
      </c>
      <c r="AC20" s="144"/>
      <c r="AD20" s="30" t="s">
        <v>11</v>
      </c>
      <c r="AE20" s="155">
        <f>IF(AB20+AB19=0,"",Z10/(AB19+AB20))</f>
        <v>3000</v>
      </c>
      <c r="AF20" s="156"/>
      <c r="AG20" s="156"/>
      <c r="AH20" s="156"/>
      <c r="AI20" s="156"/>
      <c r="AJ20" s="156"/>
      <c r="AK20" s="157"/>
    </row>
    <row r="21" spans="2:37" ht="15" customHeight="1" x14ac:dyDescent="0.15">
      <c r="B21" s="92" t="s">
        <v>5</v>
      </c>
      <c r="C21" s="93"/>
      <c r="D21" s="93"/>
      <c r="E21" s="93"/>
      <c r="F21" s="93"/>
      <c r="G21" s="94"/>
      <c r="H21" s="92" t="s">
        <v>6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  <c r="Z21" s="92" t="s">
        <v>12</v>
      </c>
      <c r="AA21" s="93"/>
      <c r="AB21" s="93"/>
      <c r="AC21" s="93"/>
      <c r="AD21" s="93"/>
      <c r="AE21" s="93"/>
      <c r="AF21" s="94"/>
      <c r="AG21" s="92" t="s">
        <v>15</v>
      </c>
      <c r="AH21" s="93"/>
      <c r="AI21" s="93"/>
      <c r="AJ21" s="93"/>
      <c r="AK21" s="94"/>
    </row>
    <row r="22" spans="2:37" ht="15" customHeight="1" x14ac:dyDescent="0.15">
      <c r="B22" s="252"/>
      <c r="C22" s="253"/>
      <c r="D22" s="253"/>
      <c r="E22" s="253"/>
      <c r="F22" s="253"/>
      <c r="G22" s="254"/>
      <c r="H22" s="107" t="s">
        <v>29</v>
      </c>
      <c r="I22" s="108"/>
      <c r="J22" s="109"/>
      <c r="K22" s="193" t="s">
        <v>30</v>
      </c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4"/>
      <c r="Z22" s="181"/>
      <c r="AA22" s="182"/>
      <c r="AB22" s="182"/>
      <c r="AC22" s="182"/>
      <c r="AD22" s="182"/>
      <c r="AE22" s="182"/>
      <c r="AF22" s="183"/>
      <c r="AG22" s="18"/>
      <c r="AH22" s="19"/>
      <c r="AI22" s="19"/>
      <c r="AJ22" s="19"/>
      <c r="AK22" s="20"/>
    </row>
    <row r="23" spans="2:37" ht="15" customHeight="1" x14ac:dyDescent="0.15">
      <c r="B23" s="92" t="s">
        <v>7</v>
      </c>
      <c r="C23" s="93"/>
      <c r="D23" s="93"/>
      <c r="E23" s="93"/>
      <c r="F23" s="93"/>
      <c r="G23" s="94"/>
      <c r="H23" s="113"/>
      <c r="I23" s="114"/>
      <c r="J23" s="115"/>
      <c r="K23" s="195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4"/>
      <c r="Z23" s="184"/>
      <c r="AA23" s="185"/>
      <c r="AB23" s="185"/>
      <c r="AC23" s="185"/>
      <c r="AD23" s="185"/>
      <c r="AE23" s="185"/>
      <c r="AF23" s="186"/>
      <c r="AG23" s="190" t="str">
        <f>IF(ISERROR(VLOOKUP(K22,科目一覧,3,FALSE)),"",VLOOKUP(K22,科目一覧,3,FALSE))</f>
        <v/>
      </c>
      <c r="AH23" s="191"/>
      <c r="AI23" s="191"/>
      <c r="AJ23" s="191"/>
      <c r="AK23" s="192"/>
    </row>
    <row r="24" spans="2:37" ht="15" customHeight="1" x14ac:dyDescent="0.15">
      <c r="B24" s="95"/>
      <c r="C24" s="96"/>
      <c r="D24" s="96"/>
      <c r="E24" s="96"/>
      <c r="F24" s="96"/>
      <c r="G24" s="97"/>
      <c r="H24" s="197" t="s">
        <v>22</v>
      </c>
      <c r="I24" s="198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200"/>
      <c r="Z24" s="184"/>
      <c r="AA24" s="185"/>
      <c r="AB24" s="185"/>
      <c r="AC24" s="185"/>
      <c r="AD24" s="185"/>
      <c r="AE24" s="185"/>
      <c r="AF24" s="186"/>
      <c r="AG24" s="161" t="str">
        <f>IF(ISERROR(VLOOKUP(K22,科目一覧,4,FALSE)),"",VLOOKUP(K22,科目一覧,4,FALSE))</f>
        <v/>
      </c>
      <c r="AH24" s="162"/>
      <c r="AI24" s="162"/>
      <c r="AJ24" s="162"/>
      <c r="AK24" s="163"/>
    </row>
    <row r="25" spans="2:37" ht="15" customHeight="1" x14ac:dyDescent="0.15">
      <c r="B25" s="101"/>
      <c r="C25" s="102"/>
      <c r="D25" s="102"/>
      <c r="E25" s="102"/>
      <c r="F25" s="102"/>
      <c r="G25" s="103"/>
      <c r="H25" s="104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6"/>
      <c r="Z25" s="184"/>
      <c r="AA25" s="185"/>
      <c r="AB25" s="185"/>
      <c r="AC25" s="185"/>
      <c r="AD25" s="185"/>
      <c r="AE25" s="185"/>
      <c r="AF25" s="186"/>
      <c r="AG25" s="172" t="str">
        <f>IF(K22="","",IF(VLOOKUP(K22,科目一覧,2,FALSE)="7180000001",IF(AE32&lt;=5250,"0011","0001"),IF(ISERROR(VLOOKUP(K22,科目一覧,5,FALSE)),"",VLOOKUP(K22,科目一覧,5,FALSE))))</f>
        <v/>
      </c>
      <c r="AH25" s="173"/>
      <c r="AI25" s="173"/>
      <c r="AJ25" s="173"/>
      <c r="AK25" s="174"/>
    </row>
    <row r="26" spans="2:37" ht="15" customHeight="1" x14ac:dyDescent="0.15">
      <c r="B26" s="92" t="s">
        <v>42</v>
      </c>
      <c r="C26" s="93"/>
      <c r="D26" s="93"/>
      <c r="E26" s="93"/>
      <c r="F26" s="93"/>
      <c r="G26" s="94"/>
      <c r="H26" s="104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  <c r="Z26" s="184"/>
      <c r="AA26" s="185"/>
      <c r="AB26" s="185"/>
      <c r="AC26" s="185"/>
      <c r="AD26" s="185"/>
      <c r="AE26" s="185"/>
      <c r="AF26" s="186"/>
      <c r="AG26" s="161" t="str">
        <f>IF(K22="","",IF(ISERROR(VLOOKUP(AG23&amp;AG25,科目一覧2,5,FALSE)),"",VLOOKUP(AG23&amp;AG25,科目一覧2,5,FALSE)))</f>
        <v/>
      </c>
      <c r="AH26" s="162"/>
      <c r="AI26" s="162"/>
      <c r="AJ26" s="162"/>
      <c r="AK26" s="163"/>
    </row>
    <row r="27" spans="2:37" ht="15" customHeight="1" x14ac:dyDescent="0.15">
      <c r="B27" s="264"/>
      <c r="C27" s="265"/>
      <c r="D27" s="265"/>
      <c r="E27" s="265"/>
      <c r="F27" s="265"/>
      <c r="G27" s="266"/>
      <c r="H27" s="104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6"/>
      <c r="Z27" s="184"/>
      <c r="AA27" s="185"/>
      <c r="AB27" s="185"/>
      <c r="AC27" s="185"/>
      <c r="AD27" s="185"/>
      <c r="AE27" s="185"/>
      <c r="AF27" s="186"/>
      <c r="AG27" s="172"/>
      <c r="AH27" s="173"/>
      <c r="AI27" s="173"/>
      <c r="AJ27" s="173"/>
      <c r="AK27" s="174"/>
    </row>
    <row r="28" spans="2:37" ht="15" customHeight="1" x14ac:dyDescent="0.15">
      <c r="B28" s="267"/>
      <c r="C28" s="268"/>
      <c r="D28" s="268"/>
      <c r="E28" s="268"/>
      <c r="F28" s="268"/>
      <c r="G28" s="269"/>
      <c r="H28" s="104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6"/>
      <c r="Z28" s="184"/>
      <c r="AA28" s="185"/>
      <c r="AB28" s="185"/>
      <c r="AC28" s="185"/>
      <c r="AD28" s="185"/>
      <c r="AE28" s="185"/>
      <c r="AF28" s="186"/>
      <c r="AG28" s="24"/>
      <c r="AH28" s="14"/>
      <c r="AI28" s="14"/>
      <c r="AJ28" s="14"/>
      <c r="AK28" s="25"/>
    </row>
    <row r="29" spans="2:37" ht="15" customHeight="1" x14ac:dyDescent="0.15">
      <c r="B29" s="92" t="s">
        <v>8</v>
      </c>
      <c r="C29" s="93"/>
      <c r="D29" s="93"/>
      <c r="E29" s="93"/>
      <c r="F29" s="93"/>
      <c r="G29" s="94"/>
      <c r="H29" s="175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7"/>
      <c r="Z29" s="184"/>
      <c r="AA29" s="185"/>
      <c r="AB29" s="185"/>
      <c r="AC29" s="185"/>
      <c r="AD29" s="185"/>
      <c r="AE29" s="185"/>
      <c r="AF29" s="186"/>
      <c r="AG29" s="24"/>
      <c r="AH29" s="14"/>
      <c r="AI29" s="14"/>
      <c r="AJ29" s="14"/>
      <c r="AK29" s="25"/>
    </row>
    <row r="30" spans="2:37" ht="15" customHeight="1" x14ac:dyDescent="0.15">
      <c r="B30" s="261"/>
      <c r="C30" s="262"/>
      <c r="D30" s="262"/>
      <c r="E30" s="262"/>
      <c r="F30" s="262"/>
      <c r="G30" s="263"/>
      <c r="H30" s="92" t="s">
        <v>14</v>
      </c>
      <c r="I30" s="93"/>
      <c r="J30" s="93"/>
      <c r="K30" s="93"/>
      <c r="L30" s="94"/>
      <c r="M30" s="169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1"/>
      <c r="Z30" s="187"/>
      <c r="AA30" s="188"/>
      <c r="AB30" s="188"/>
      <c r="AC30" s="188"/>
      <c r="AD30" s="188"/>
      <c r="AE30" s="188"/>
      <c r="AF30" s="189"/>
      <c r="AG30" s="26"/>
      <c r="AH30" s="27"/>
      <c r="AI30" s="27"/>
      <c r="AJ30" s="27"/>
      <c r="AK30" s="28"/>
    </row>
    <row r="31" spans="2:37" ht="15" customHeight="1" x14ac:dyDescent="0.15">
      <c r="B31" s="92" t="s">
        <v>43</v>
      </c>
      <c r="C31" s="93"/>
      <c r="D31" s="93"/>
      <c r="E31" s="93"/>
      <c r="F31" s="93"/>
      <c r="G31" s="94"/>
      <c r="H31" s="92" t="s">
        <v>33</v>
      </c>
      <c r="I31" s="93"/>
      <c r="J31" s="93"/>
      <c r="K31" s="93"/>
      <c r="L31" s="94"/>
      <c r="M31" s="169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1"/>
      <c r="Z31" s="178" t="s">
        <v>10</v>
      </c>
      <c r="AA31" s="180"/>
      <c r="AB31" s="169"/>
      <c r="AC31" s="170"/>
      <c r="AD31" s="29" t="s">
        <v>11</v>
      </c>
      <c r="AE31" s="178" t="s">
        <v>13</v>
      </c>
      <c r="AF31" s="179"/>
      <c r="AG31" s="179"/>
      <c r="AH31" s="179"/>
      <c r="AI31" s="179"/>
      <c r="AJ31" s="179"/>
      <c r="AK31" s="180"/>
    </row>
    <row r="32" spans="2:37" ht="15" customHeight="1" thickBot="1" x14ac:dyDescent="0.2">
      <c r="B32" s="279"/>
      <c r="C32" s="280"/>
      <c r="D32" s="280"/>
      <c r="E32" s="280"/>
      <c r="F32" s="280"/>
      <c r="G32" s="281"/>
      <c r="H32" s="140" t="s">
        <v>9</v>
      </c>
      <c r="I32" s="141"/>
      <c r="J32" s="141"/>
      <c r="K32" s="141"/>
      <c r="L32" s="142"/>
      <c r="M32" s="143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5"/>
      <c r="Z32" s="132" t="s">
        <v>10</v>
      </c>
      <c r="AA32" s="133"/>
      <c r="AB32" s="143"/>
      <c r="AC32" s="144"/>
      <c r="AD32" s="30" t="s">
        <v>11</v>
      </c>
      <c r="AE32" s="155" t="str">
        <f>IF(AB32+AB31=0,"",Z22/(AB31+AB32))</f>
        <v/>
      </c>
      <c r="AF32" s="156"/>
      <c r="AG32" s="156"/>
      <c r="AH32" s="156"/>
      <c r="AI32" s="156"/>
      <c r="AJ32" s="156"/>
      <c r="AK32" s="157"/>
    </row>
    <row r="33" spans="2:37" ht="15" customHeight="1" x14ac:dyDescent="0.15">
      <c r="B33" s="92" t="s">
        <v>5</v>
      </c>
      <c r="C33" s="93"/>
      <c r="D33" s="93"/>
      <c r="E33" s="93"/>
      <c r="F33" s="93"/>
      <c r="G33" s="94"/>
      <c r="H33" s="92" t="s">
        <v>6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4"/>
      <c r="Z33" s="92" t="s">
        <v>12</v>
      </c>
      <c r="AA33" s="93"/>
      <c r="AB33" s="93"/>
      <c r="AC33" s="93"/>
      <c r="AD33" s="93"/>
      <c r="AE33" s="93"/>
      <c r="AF33" s="94"/>
      <c r="AG33" s="92" t="s">
        <v>15</v>
      </c>
      <c r="AH33" s="93"/>
      <c r="AI33" s="93"/>
      <c r="AJ33" s="93"/>
      <c r="AK33" s="94"/>
    </row>
    <row r="34" spans="2:37" ht="15" customHeight="1" x14ac:dyDescent="0.15">
      <c r="B34" s="252"/>
      <c r="C34" s="253"/>
      <c r="D34" s="253"/>
      <c r="E34" s="253"/>
      <c r="F34" s="253"/>
      <c r="G34" s="254"/>
      <c r="H34" s="107" t="s">
        <v>29</v>
      </c>
      <c r="I34" s="108"/>
      <c r="J34" s="109"/>
      <c r="K34" s="193" t="s">
        <v>30</v>
      </c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4"/>
      <c r="Z34" s="181"/>
      <c r="AA34" s="182"/>
      <c r="AB34" s="182"/>
      <c r="AC34" s="182"/>
      <c r="AD34" s="182"/>
      <c r="AE34" s="182"/>
      <c r="AF34" s="183"/>
      <c r="AG34" s="18"/>
      <c r="AH34" s="19"/>
      <c r="AI34" s="19"/>
      <c r="AJ34" s="19"/>
      <c r="AK34" s="20"/>
    </row>
    <row r="35" spans="2:37" ht="15" customHeight="1" x14ac:dyDescent="0.15">
      <c r="B35" s="92" t="s">
        <v>7</v>
      </c>
      <c r="C35" s="93"/>
      <c r="D35" s="93"/>
      <c r="E35" s="93"/>
      <c r="F35" s="93"/>
      <c r="G35" s="94"/>
      <c r="H35" s="113"/>
      <c r="I35" s="114"/>
      <c r="J35" s="115"/>
      <c r="K35" s="195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4"/>
      <c r="Z35" s="184"/>
      <c r="AA35" s="185"/>
      <c r="AB35" s="185"/>
      <c r="AC35" s="185"/>
      <c r="AD35" s="185"/>
      <c r="AE35" s="185"/>
      <c r="AF35" s="186"/>
      <c r="AG35" s="190" t="str">
        <f>IF(ISERROR(VLOOKUP(K34,科目一覧,3,FALSE)),"",VLOOKUP(K34,科目一覧,3,FALSE))</f>
        <v/>
      </c>
      <c r="AH35" s="191"/>
      <c r="AI35" s="191"/>
      <c r="AJ35" s="191"/>
      <c r="AK35" s="192"/>
    </row>
    <row r="36" spans="2:37" ht="15" customHeight="1" x14ac:dyDescent="0.15">
      <c r="B36" s="95"/>
      <c r="C36" s="96"/>
      <c r="D36" s="96"/>
      <c r="E36" s="96"/>
      <c r="F36" s="96"/>
      <c r="G36" s="97"/>
      <c r="H36" s="197" t="s">
        <v>22</v>
      </c>
      <c r="I36" s="198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200"/>
      <c r="Z36" s="184"/>
      <c r="AA36" s="185"/>
      <c r="AB36" s="185"/>
      <c r="AC36" s="185"/>
      <c r="AD36" s="185"/>
      <c r="AE36" s="185"/>
      <c r="AF36" s="186"/>
      <c r="AG36" s="161" t="str">
        <f>IF(ISERROR(VLOOKUP(K34,科目一覧,4,FALSE)),"",VLOOKUP(K34,科目一覧,4,FALSE))</f>
        <v/>
      </c>
      <c r="AH36" s="162"/>
      <c r="AI36" s="162"/>
      <c r="AJ36" s="162"/>
      <c r="AK36" s="163"/>
    </row>
    <row r="37" spans="2:37" ht="15" customHeight="1" x14ac:dyDescent="0.15">
      <c r="B37" s="101"/>
      <c r="C37" s="102"/>
      <c r="D37" s="102"/>
      <c r="E37" s="102"/>
      <c r="F37" s="102"/>
      <c r="G37" s="103"/>
      <c r="H37" s="104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6"/>
      <c r="Z37" s="184"/>
      <c r="AA37" s="185"/>
      <c r="AB37" s="185"/>
      <c r="AC37" s="185"/>
      <c r="AD37" s="185"/>
      <c r="AE37" s="185"/>
      <c r="AF37" s="186"/>
      <c r="AG37" s="172" t="str">
        <f>IF(K34="","",IF(VLOOKUP(K34,科目一覧,2,FALSE)="7180000001",IF(AE44&lt;=5250,"0011","0001"),IF(ISERROR(VLOOKUP(K34,科目一覧,5,FALSE)),"",VLOOKUP(K34,科目一覧,5,FALSE))))</f>
        <v/>
      </c>
      <c r="AH37" s="173"/>
      <c r="AI37" s="173"/>
      <c r="AJ37" s="173"/>
      <c r="AK37" s="174"/>
    </row>
    <row r="38" spans="2:37" ht="15" customHeight="1" x14ac:dyDescent="0.15">
      <c r="B38" s="92" t="s">
        <v>42</v>
      </c>
      <c r="C38" s="93"/>
      <c r="D38" s="93"/>
      <c r="E38" s="93"/>
      <c r="F38" s="93"/>
      <c r="G38" s="94"/>
      <c r="H38" s="104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6"/>
      <c r="Z38" s="184"/>
      <c r="AA38" s="185"/>
      <c r="AB38" s="185"/>
      <c r="AC38" s="185"/>
      <c r="AD38" s="185"/>
      <c r="AE38" s="185"/>
      <c r="AF38" s="186"/>
      <c r="AG38" s="161" t="str">
        <f>IF(K34="","",IF(ISERROR(VLOOKUP(AG35&amp;AG37,科目一覧2,5,FALSE)),"",VLOOKUP(AG35&amp;AG37,科目一覧2,5,FALSE)))</f>
        <v/>
      </c>
      <c r="AH38" s="162"/>
      <c r="AI38" s="162"/>
      <c r="AJ38" s="162"/>
      <c r="AK38" s="163"/>
    </row>
    <row r="39" spans="2:37" ht="15" customHeight="1" x14ac:dyDescent="0.15">
      <c r="B39" s="264"/>
      <c r="C39" s="265"/>
      <c r="D39" s="265"/>
      <c r="E39" s="265"/>
      <c r="F39" s="265"/>
      <c r="G39" s="266"/>
      <c r="H39" s="104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6"/>
      <c r="Z39" s="184"/>
      <c r="AA39" s="185"/>
      <c r="AB39" s="185"/>
      <c r="AC39" s="185"/>
      <c r="AD39" s="185"/>
      <c r="AE39" s="185"/>
      <c r="AF39" s="186"/>
      <c r="AG39" s="172"/>
      <c r="AH39" s="173"/>
      <c r="AI39" s="173"/>
      <c r="AJ39" s="173"/>
      <c r="AK39" s="174"/>
    </row>
    <row r="40" spans="2:37" ht="15" customHeight="1" x14ac:dyDescent="0.15">
      <c r="B40" s="267"/>
      <c r="C40" s="268"/>
      <c r="D40" s="268"/>
      <c r="E40" s="268"/>
      <c r="F40" s="268"/>
      <c r="G40" s="269"/>
      <c r="H40" s="104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6"/>
      <c r="Z40" s="184"/>
      <c r="AA40" s="185"/>
      <c r="AB40" s="185"/>
      <c r="AC40" s="185"/>
      <c r="AD40" s="185"/>
      <c r="AE40" s="185"/>
      <c r="AF40" s="186"/>
      <c r="AG40" s="24"/>
      <c r="AH40" s="14"/>
      <c r="AI40" s="14"/>
      <c r="AJ40" s="14"/>
      <c r="AK40" s="25"/>
    </row>
    <row r="41" spans="2:37" ht="15" customHeight="1" x14ac:dyDescent="0.15">
      <c r="B41" s="92" t="s">
        <v>8</v>
      </c>
      <c r="C41" s="93"/>
      <c r="D41" s="93"/>
      <c r="E41" s="93"/>
      <c r="F41" s="93"/>
      <c r="G41" s="94"/>
      <c r="H41" s="175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7"/>
      <c r="Z41" s="184"/>
      <c r="AA41" s="185"/>
      <c r="AB41" s="185"/>
      <c r="AC41" s="185"/>
      <c r="AD41" s="185"/>
      <c r="AE41" s="185"/>
      <c r="AF41" s="186"/>
      <c r="AG41" s="24"/>
      <c r="AH41" s="14"/>
      <c r="AI41" s="14"/>
      <c r="AJ41" s="14"/>
      <c r="AK41" s="25"/>
    </row>
    <row r="42" spans="2:37" ht="15" customHeight="1" x14ac:dyDescent="0.15">
      <c r="B42" s="261"/>
      <c r="C42" s="262"/>
      <c r="D42" s="262"/>
      <c r="E42" s="262"/>
      <c r="F42" s="262"/>
      <c r="G42" s="263"/>
      <c r="H42" s="92" t="s">
        <v>14</v>
      </c>
      <c r="I42" s="93"/>
      <c r="J42" s="93"/>
      <c r="K42" s="93"/>
      <c r="L42" s="94"/>
      <c r="M42" s="169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1"/>
      <c r="Z42" s="187"/>
      <c r="AA42" s="188"/>
      <c r="AB42" s="188"/>
      <c r="AC42" s="188"/>
      <c r="AD42" s="188"/>
      <c r="AE42" s="188"/>
      <c r="AF42" s="189"/>
      <c r="AG42" s="26"/>
      <c r="AH42" s="27"/>
      <c r="AI42" s="27"/>
      <c r="AJ42" s="27"/>
      <c r="AK42" s="28"/>
    </row>
    <row r="43" spans="2:37" ht="15" customHeight="1" x14ac:dyDescent="0.15">
      <c r="B43" s="92" t="s">
        <v>43</v>
      </c>
      <c r="C43" s="93"/>
      <c r="D43" s="93"/>
      <c r="E43" s="93"/>
      <c r="F43" s="93"/>
      <c r="G43" s="94"/>
      <c r="H43" s="92" t="s">
        <v>33</v>
      </c>
      <c r="I43" s="93"/>
      <c r="J43" s="93"/>
      <c r="K43" s="93"/>
      <c r="L43" s="94"/>
      <c r="M43" s="169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1"/>
      <c r="Z43" s="178" t="s">
        <v>10</v>
      </c>
      <c r="AA43" s="180"/>
      <c r="AB43" s="169"/>
      <c r="AC43" s="170"/>
      <c r="AD43" s="29" t="s">
        <v>11</v>
      </c>
      <c r="AE43" s="178" t="s">
        <v>13</v>
      </c>
      <c r="AF43" s="179"/>
      <c r="AG43" s="179"/>
      <c r="AH43" s="179"/>
      <c r="AI43" s="179"/>
      <c r="AJ43" s="179"/>
      <c r="AK43" s="180"/>
    </row>
    <row r="44" spans="2:37" ht="15" customHeight="1" thickBot="1" x14ac:dyDescent="0.2">
      <c r="B44" s="279"/>
      <c r="C44" s="280"/>
      <c r="D44" s="280"/>
      <c r="E44" s="280"/>
      <c r="F44" s="280"/>
      <c r="G44" s="281"/>
      <c r="H44" s="140" t="s">
        <v>9</v>
      </c>
      <c r="I44" s="141"/>
      <c r="J44" s="141"/>
      <c r="K44" s="141"/>
      <c r="L44" s="142"/>
      <c r="M44" s="143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5"/>
      <c r="Z44" s="132" t="s">
        <v>10</v>
      </c>
      <c r="AA44" s="133"/>
      <c r="AB44" s="143"/>
      <c r="AC44" s="144"/>
      <c r="AD44" s="30" t="s">
        <v>11</v>
      </c>
      <c r="AE44" s="155" t="str">
        <f>IF(AB44+AB43=0,"",Z34/(AB43+AB44))</f>
        <v/>
      </c>
      <c r="AF44" s="156"/>
      <c r="AG44" s="156"/>
      <c r="AH44" s="156"/>
      <c r="AI44" s="156"/>
      <c r="AJ44" s="156"/>
      <c r="AK44" s="157"/>
    </row>
    <row r="45" spans="2:37" x14ac:dyDescent="0.1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2:37" ht="12" customHeight="1" x14ac:dyDescent="0.1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2"/>
      <c r="Z46" s="222" t="s">
        <v>21</v>
      </c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4"/>
    </row>
    <row r="47" spans="2:37" ht="13.2" x14ac:dyDescent="0.15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  <c r="O47" s="34"/>
      <c r="P47" s="34"/>
      <c r="Q47" s="34"/>
      <c r="R47" s="35"/>
      <c r="S47" s="7"/>
      <c r="T47" s="7"/>
      <c r="U47" s="7"/>
      <c r="V47" s="7"/>
      <c r="W47" s="7"/>
      <c r="X47" s="7"/>
      <c r="Y47" s="8"/>
      <c r="Z47" s="255">
        <f>Z10+Z22+Z34</f>
        <v>18000</v>
      </c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7"/>
    </row>
    <row r="48" spans="2:37" ht="13.2" x14ac:dyDescent="0.15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  <c r="O48" s="34"/>
      <c r="P48" s="34"/>
      <c r="Q48" s="34"/>
      <c r="R48" s="7"/>
      <c r="S48" s="7"/>
      <c r="T48" s="7"/>
      <c r="U48" s="7"/>
      <c r="V48" s="7"/>
      <c r="W48" s="7"/>
      <c r="X48" s="7"/>
      <c r="Y48" s="8"/>
      <c r="Z48" s="258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60"/>
    </row>
    <row r="49" spans="2:37" x14ac:dyDescent="0.15">
      <c r="B49" s="36"/>
      <c r="C49" s="36"/>
      <c r="D49" s="131"/>
      <c r="E49" s="131"/>
      <c r="F49" s="131"/>
      <c r="G49" s="131"/>
      <c r="H49" s="131"/>
      <c r="I49" s="131"/>
      <c r="J49" s="131"/>
      <c r="K49" s="131"/>
      <c r="L49" s="131"/>
      <c r="M49" s="27"/>
      <c r="N49" s="131"/>
      <c r="O49" s="131"/>
      <c r="P49" s="131"/>
      <c r="Q49" s="131"/>
      <c r="R49" s="131"/>
      <c r="S49" s="131"/>
      <c r="T49" s="27"/>
      <c r="U49" s="27"/>
      <c r="V49" s="27"/>
      <c r="W49" s="27"/>
      <c r="X49" s="27"/>
      <c r="Y49" s="27"/>
      <c r="Z49" s="37"/>
      <c r="AA49" s="37"/>
      <c r="AB49" s="37"/>
      <c r="AC49" s="37"/>
      <c r="AD49" s="37"/>
      <c r="AE49" s="37"/>
      <c r="AF49" s="37"/>
      <c r="AG49" s="37"/>
      <c r="AH49" s="37"/>
      <c r="AI49" s="38"/>
      <c r="AJ49" s="38"/>
      <c r="AK49" s="38"/>
    </row>
    <row r="50" spans="2:37" ht="12" customHeight="1" x14ac:dyDescent="0.15">
      <c r="B50" s="225" t="s">
        <v>55</v>
      </c>
      <c r="C50" s="226"/>
      <c r="D50" s="39"/>
      <c r="E50" s="19" t="s">
        <v>56</v>
      </c>
      <c r="F50" s="10"/>
      <c r="G50" s="10"/>
      <c r="H50" s="10"/>
      <c r="I50" s="10"/>
      <c r="J50" s="10"/>
      <c r="K50" s="10"/>
      <c r="L50" s="10"/>
      <c r="M50" s="10"/>
      <c r="N50" s="19"/>
      <c r="O50" s="19" t="s">
        <v>35</v>
      </c>
      <c r="P50" s="10"/>
      <c r="Q50" s="10"/>
      <c r="R50" s="10"/>
      <c r="S50" s="10"/>
      <c r="T50" s="10"/>
      <c r="U50" s="19"/>
      <c r="V50" s="19"/>
      <c r="W50" s="19"/>
      <c r="X50" s="19"/>
      <c r="Y50" s="19"/>
      <c r="Z50" s="19" t="s">
        <v>37</v>
      </c>
      <c r="AA50" s="10"/>
      <c r="AB50" s="10"/>
      <c r="AC50" s="10"/>
      <c r="AD50" s="10"/>
      <c r="AE50" s="10"/>
      <c r="AF50" s="10"/>
      <c r="AG50" s="19"/>
      <c r="AH50" s="19"/>
      <c r="AI50" s="19"/>
      <c r="AJ50" s="16"/>
      <c r="AK50" s="17"/>
    </row>
    <row r="51" spans="2:37" x14ac:dyDescent="0.15">
      <c r="B51" s="227"/>
      <c r="C51" s="228"/>
      <c r="E51" s="221" t="s">
        <v>17</v>
      </c>
      <c r="F51" s="221"/>
      <c r="G51" s="221"/>
      <c r="H51" s="221"/>
      <c r="I51" s="221"/>
      <c r="J51" s="221"/>
      <c r="K51" s="221"/>
      <c r="L51" s="221"/>
      <c r="M51" s="221"/>
      <c r="N51" s="14"/>
      <c r="O51" s="221" t="s">
        <v>17</v>
      </c>
      <c r="P51" s="221"/>
      <c r="Q51" s="221"/>
      <c r="R51" s="221"/>
      <c r="S51" s="221"/>
      <c r="T51" s="221"/>
      <c r="U51" s="221"/>
      <c r="V51" s="221"/>
      <c r="W51" s="221"/>
      <c r="X51" s="14"/>
      <c r="Y51" s="14"/>
      <c r="Z51" s="221" t="s">
        <v>17</v>
      </c>
      <c r="AA51" s="221"/>
      <c r="AB51" s="221"/>
      <c r="AC51" s="221"/>
      <c r="AD51" s="221"/>
      <c r="AE51" s="221"/>
      <c r="AF51" s="221"/>
      <c r="AG51" s="221"/>
      <c r="AH51" s="221"/>
      <c r="AJ51" s="40"/>
      <c r="AK51" s="41"/>
    </row>
    <row r="52" spans="2:37" x14ac:dyDescent="0.15">
      <c r="B52" s="227"/>
      <c r="C52" s="228"/>
      <c r="E52" s="221"/>
      <c r="F52" s="221"/>
      <c r="G52" s="221"/>
      <c r="H52" s="221"/>
      <c r="I52" s="221"/>
      <c r="J52" s="221"/>
      <c r="K52" s="221"/>
      <c r="L52" s="221"/>
      <c r="M52" s="221"/>
      <c r="N52" s="14"/>
      <c r="O52" s="221"/>
      <c r="P52" s="221"/>
      <c r="Q52" s="221"/>
      <c r="R52" s="221"/>
      <c r="S52" s="221"/>
      <c r="T52" s="221"/>
      <c r="U52" s="221"/>
      <c r="V52" s="221"/>
      <c r="W52" s="221"/>
      <c r="X52" s="14"/>
      <c r="Y52" s="14"/>
      <c r="Z52" s="221"/>
      <c r="AA52" s="221"/>
      <c r="AB52" s="221"/>
      <c r="AC52" s="221"/>
      <c r="AD52" s="221"/>
      <c r="AE52" s="221"/>
      <c r="AF52" s="221"/>
      <c r="AG52" s="221"/>
      <c r="AH52" s="221"/>
      <c r="AJ52" s="22"/>
      <c r="AK52" s="23"/>
    </row>
    <row r="53" spans="2:37" x14ac:dyDescent="0.15">
      <c r="B53" s="227"/>
      <c r="C53" s="228"/>
      <c r="E53" s="166" t="s">
        <v>57</v>
      </c>
      <c r="F53" s="167"/>
      <c r="G53" s="168"/>
      <c r="H53" s="166" t="s">
        <v>0</v>
      </c>
      <c r="I53" s="167"/>
      <c r="J53" s="168"/>
      <c r="K53" s="166" t="s">
        <v>16</v>
      </c>
      <c r="L53" s="167"/>
      <c r="M53" s="168"/>
      <c r="N53" s="14"/>
      <c r="O53" s="166" t="s">
        <v>18</v>
      </c>
      <c r="P53" s="167"/>
      <c r="Q53" s="168"/>
      <c r="R53" s="166" t="s">
        <v>16</v>
      </c>
      <c r="S53" s="167"/>
      <c r="T53" s="168"/>
      <c r="U53" s="14"/>
      <c r="V53" s="14"/>
      <c r="W53" s="14"/>
      <c r="X53" s="14"/>
      <c r="Y53" s="14"/>
      <c r="Z53" s="166" t="s">
        <v>36</v>
      </c>
      <c r="AA53" s="167"/>
      <c r="AB53" s="168"/>
      <c r="AC53" s="166" t="s">
        <v>20</v>
      </c>
      <c r="AD53" s="167"/>
      <c r="AE53" s="167"/>
      <c r="AF53" s="167"/>
      <c r="AG53" s="167"/>
      <c r="AH53" s="167"/>
      <c r="AI53" s="167"/>
      <c r="AJ53" s="167"/>
      <c r="AK53" s="168"/>
    </row>
    <row r="54" spans="2:37" x14ac:dyDescent="0.15">
      <c r="B54" s="227"/>
      <c r="C54" s="228"/>
      <c r="E54" s="158"/>
      <c r="F54" s="159"/>
      <c r="G54" s="160"/>
      <c r="H54" s="158"/>
      <c r="I54" s="159"/>
      <c r="J54" s="160"/>
      <c r="K54" s="158"/>
      <c r="L54" s="159"/>
      <c r="M54" s="160"/>
      <c r="N54" s="14"/>
      <c r="O54" s="158"/>
      <c r="P54" s="159"/>
      <c r="Q54" s="160"/>
      <c r="R54" s="158"/>
      <c r="S54" s="159"/>
      <c r="T54" s="160"/>
      <c r="U54" s="40"/>
      <c r="V54" s="40"/>
      <c r="W54" s="40"/>
      <c r="X54" s="40"/>
      <c r="Y54" s="40"/>
      <c r="Z54" s="107"/>
      <c r="AA54" s="108"/>
      <c r="AB54" s="109"/>
      <c r="AC54" s="15"/>
      <c r="AD54" s="16"/>
      <c r="AE54" s="16"/>
      <c r="AF54" s="16"/>
      <c r="AG54" s="16"/>
      <c r="AH54" s="16"/>
      <c r="AI54" s="16"/>
      <c r="AJ54" s="16"/>
      <c r="AK54" s="17"/>
    </row>
    <row r="55" spans="2:37" x14ac:dyDescent="0.15">
      <c r="B55" s="227"/>
      <c r="C55" s="228"/>
      <c r="E55" s="161"/>
      <c r="F55" s="162"/>
      <c r="G55" s="163"/>
      <c r="H55" s="161"/>
      <c r="I55" s="162"/>
      <c r="J55" s="163"/>
      <c r="K55" s="161"/>
      <c r="L55" s="162"/>
      <c r="M55" s="163"/>
      <c r="N55" s="14"/>
      <c r="O55" s="161"/>
      <c r="P55" s="162"/>
      <c r="Q55" s="163"/>
      <c r="R55" s="161"/>
      <c r="S55" s="162"/>
      <c r="T55" s="163"/>
      <c r="U55" s="40"/>
      <c r="V55" s="40"/>
      <c r="W55" s="40"/>
      <c r="X55" s="40"/>
      <c r="Y55" s="40"/>
      <c r="Z55" s="110"/>
      <c r="AA55" s="111"/>
      <c r="AB55" s="112"/>
      <c r="AC55" s="42"/>
      <c r="AD55" s="40"/>
      <c r="AE55" s="40"/>
      <c r="AF55" s="40"/>
      <c r="AG55" s="40"/>
      <c r="AH55" s="40"/>
      <c r="AI55" s="40"/>
      <c r="AJ55" s="40"/>
      <c r="AK55" s="41"/>
    </row>
    <row r="56" spans="2:37" ht="13.65" customHeight="1" x14ac:dyDescent="0.15">
      <c r="B56" s="227"/>
      <c r="C56" s="228"/>
      <c r="E56" s="164"/>
      <c r="F56" s="131"/>
      <c r="G56" s="165"/>
      <c r="H56" s="164"/>
      <c r="I56" s="131"/>
      <c r="J56" s="165"/>
      <c r="K56" s="164"/>
      <c r="L56" s="131"/>
      <c r="M56" s="165"/>
      <c r="N56" s="14"/>
      <c r="O56" s="164"/>
      <c r="P56" s="131"/>
      <c r="Q56" s="165"/>
      <c r="R56" s="164"/>
      <c r="S56" s="131"/>
      <c r="T56" s="165"/>
      <c r="U56" s="40"/>
      <c r="V56" s="40"/>
      <c r="W56" s="40"/>
      <c r="X56" s="40"/>
      <c r="Y56" s="40"/>
      <c r="Z56" s="113"/>
      <c r="AA56" s="114"/>
      <c r="AB56" s="115"/>
      <c r="AC56" s="21"/>
      <c r="AD56" s="22"/>
      <c r="AE56" s="22"/>
      <c r="AF56" s="22"/>
      <c r="AG56" s="22"/>
      <c r="AH56" s="22"/>
      <c r="AI56" s="22"/>
      <c r="AJ56" s="22"/>
      <c r="AK56" s="23"/>
    </row>
    <row r="57" spans="2:37" x14ac:dyDescent="0.15">
      <c r="B57" s="227"/>
      <c r="C57" s="22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43"/>
      <c r="AA57" s="43"/>
      <c r="AB57" s="43"/>
      <c r="AC57" s="43"/>
      <c r="AD57" s="43"/>
      <c r="AE57" s="43"/>
      <c r="AF57" s="27"/>
      <c r="AG57" s="27"/>
      <c r="AH57" s="27"/>
      <c r="AI57" s="27"/>
      <c r="AJ57" s="27"/>
      <c r="AK57" s="28"/>
    </row>
    <row r="58" spans="2:37" x14ac:dyDescent="0.15">
      <c r="B58" s="227"/>
      <c r="C58" s="228"/>
      <c r="D58" s="108" t="s">
        <v>38</v>
      </c>
      <c r="E58" s="108"/>
      <c r="F58" s="108"/>
      <c r="G58" s="109"/>
      <c r="H58" s="107" t="s">
        <v>54</v>
      </c>
      <c r="I58" s="108"/>
      <c r="J58" s="108"/>
      <c r="K58" s="108"/>
      <c r="L58" s="108"/>
      <c r="M58" s="108"/>
      <c r="N58" s="108" t="s">
        <v>58</v>
      </c>
      <c r="O58" s="108"/>
      <c r="P58" s="108"/>
      <c r="Q58" s="108"/>
      <c r="R58" s="108"/>
      <c r="S58" s="108"/>
      <c r="T58" s="108"/>
      <c r="U58" s="108"/>
      <c r="V58" s="108" t="s">
        <v>59</v>
      </c>
      <c r="W58" s="108"/>
      <c r="X58" s="108"/>
      <c r="Y58" s="108"/>
      <c r="Z58" s="108"/>
      <c r="AA58" s="108"/>
      <c r="AB58" s="231" t="s">
        <v>19</v>
      </c>
      <c r="AC58" s="231"/>
      <c r="AD58" s="231"/>
      <c r="AE58" s="231"/>
      <c r="AF58" s="231"/>
      <c r="AG58" s="231"/>
      <c r="AH58" s="19"/>
      <c r="AI58" s="19"/>
      <c r="AJ58" s="19"/>
      <c r="AK58" s="20"/>
    </row>
    <row r="59" spans="2:37" x14ac:dyDescent="0.15">
      <c r="B59" s="229"/>
      <c r="C59" s="230"/>
      <c r="D59" s="114"/>
      <c r="E59" s="114"/>
      <c r="F59" s="114"/>
      <c r="G59" s="115"/>
      <c r="H59" s="113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232"/>
      <c r="AC59" s="232"/>
      <c r="AD59" s="232"/>
      <c r="AE59" s="232"/>
      <c r="AF59" s="232"/>
      <c r="AG59" s="232"/>
      <c r="AH59" s="27"/>
      <c r="AI59" s="27"/>
      <c r="AJ59" s="27"/>
      <c r="AK59" s="28"/>
    </row>
    <row r="60" spans="2:37" x14ac:dyDescent="0.15">
      <c r="B60" s="14"/>
      <c r="C60" s="14"/>
      <c r="D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</sheetData>
  <sheetProtection password="CC6F" sheet="1"/>
  <mergeCells count="164">
    <mergeCell ref="H24:I24"/>
    <mergeCell ref="J24:Y24"/>
    <mergeCell ref="B21:G21"/>
    <mergeCell ref="H21:Y21"/>
    <mergeCell ref="B19:G19"/>
    <mergeCell ref="B39:G40"/>
    <mergeCell ref="B41:G41"/>
    <mergeCell ref="B43:G43"/>
    <mergeCell ref="B44:G44"/>
    <mergeCell ref="B42:G42"/>
    <mergeCell ref="B31:G31"/>
    <mergeCell ref="B32:G32"/>
    <mergeCell ref="B34:G34"/>
    <mergeCell ref="B35:G35"/>
    <mergeCell ref="B36:G37"/>
    <mergeCell ref="B38:G38"/>
    <mergeCell ref="H44:L44"/>
    <mergeCell ref="M44:Y44"/>
    <mergeCell ref="H33:Y33"/>
    <mergeCell ref="H38:Y38"/>
    <mergeCell ref="H58:M59"/>
    <mergeCell ref="E51:M52"/>
    <mergeCell ref="O51:W52"/>
    <mergeCell ref="Z46:AK46"/>
    <mergeCell ref="B50:C59"/>
    <mergeCell ref="D49:F49"/>
    <mergeCell ref="D58:G59"/>
    <mergeCell ref="K53:M53"/>
    <mergeCell ref="Q49:S49"/>
    <mergeCell ref="G49:I49"/>
    <mergeCell ref="J49:L49"/>
    <mergeCell ref="N49:P49"/>
    <mergeCell ref="R54:T56"/>
    <mergeCell ref="AC53:AK53"/>
    <mergeCell ref="Z53:AB53"/>
    <mergeCell ref="O53:Q53"/>
    <mergeCell ref="E54:G56"/>
    <mergeCell ref="H54:J56"/>
    <mergeCell ref="K54:M56"/>
    <mergeCell ref="O54:Q56"/>
    <mergeCell ref="E53:G53"/>
    <mergeCell ref="H53:J53"/>
    <mergeCell ref="B5:D7"/>
    <mergeCell ref="E4:G4"/>
    <mergeCell ref="B4:D4"/>
    <mergeCell ref="H4:J7"/>
    <mergeCell ref="K5:N7"/>
    <mergeCell ref="B2:AK2"/>
    <mergeCell ref="E5:G7"/>
    <mergeCell ref="S4:AE4"/>
    <mergeCell ref="AF4:AK4"/>
    <mergeCell ref="AF5:AK7"/>
    <mergeCell ref="AG12:AK12"/>
    <mergeCell ref="AG15:AK15"/>
    <mergeCell ref="Z10:AF18"/>
    <mergeCell ref="Z20:AA20"/>
    <mergeCell ref="AG13:AK13"/>
    <mergeCell ref="AG14:AK14"/>
    <mergeCell ref="AG11:AK11"/>
    <mergeCell ref="H9:Y9"/>
    <mergeCell ref="K4:N4"/>
    <mergeCell ref="Z9:AF9"/>
    <mergeCell ref="AG9:AK9"/>
    <mergeCell ref="AC5:AE7"/>
    <mergeCell ref="H19:L19"/>
    <mergeCell ref="H20:L20"/>
    <mergeCell ref="M18:Y18"/>
    <mergeCell ref="M19:Y19"/>
    <mergeCell ref="M20:Y20"/>
    <mergeCell ref="O4:R4"/>
    <mergeCell ref="O5:R7"/>
    <mergeCell ref="S5:AB7"/>
    <mergeCell ref="Z19:AA19"/>
    <mergeCell ref="AE20:AK20"/>
    <mergeCell ref="AB19:AC19"/>
    <mergeCell ref="AB20:AC20"/>
    <mergeCell ref="B9:G9"/>
    <mergeCell ref="B33:G33"/>
    <mergeCell ref="B30:G30"/>
    <mergeCell ref="B20:G20"/>
    <mergeCell ref="H25:Y25"/>
    <mergeCell ref="H26:Y26"/>
    <mergeCell ref="H29:Y29"/>
    <mergeCell ref="H30:L30"/>
    <mergeCell ref="H14:Y14"/>
    <mergeCell ref="H17:Y17"/>
    <mergeCell ref="H10:J11"/>
    <mergeCell ref="K10:X11"/>
    <mergeCell ref="H12:I12"/>
    <mergeCell ref="H15:Y15"/>
    <mergeCell ref="H13:Y13"/>
    <mergeCell ref="J12:Y12"/>
    <mergeCell ref="H18:L18"/>
    <mergeCell ref="B22:G22"/>
    <mergeCell ref="B23:G23"/>
    <mergeCell ref="B24:G25"/>
    <mergeCell ref="B26:G26"/>
    <mergeCell ref="B27:G28"/>
    <mergeCell ref="B29:G29"/>
    <mergeCell ref="H27:Y27"/>
    <mergeCell ref="B17:G18"/>
    <mergeCell ref="AE31:AK31"/>
    <mergeCell ref="H32:L32"/>
    <mergeCell ref="M32:Y32"/>
    <mergeCell ref="Z32:AA32"/>
    <mergeCell ref="AB32:AC32"/>
    <mergeCell ref="H31:L31"/>
    <mergeCell ref="M31:Y31"/>
    <mergeCell ref="Z31:AA31"/>
    <mergeCell ref="AB31:AC31"/>
    <mergeCell ref="AE32:AK32"/>
    <mergeCell ref="M30:Y30"/>
    <mergeCell ref="AG25:AK25"/>
    <mergeCell ref="AG26:AK26"/>
    <mergeCell ref="Z22:AF30"/>
    <mergeCell ref="AG27:AK27"/>
    <mergeCell ref="AG23:AK23"/>
    <mergeCell ref="H28:Y28"/>
    <mergeCell ref="Z21:AF21"/>
    <mergeCell ref="AG21:AK21"/>
    <mergeCell ref="AE19:AK19"/>
    <mergeCell ref="AG24:AK24"/>
    <mergeCell ref="H22:J23"/>
    <mergeCell ref="K22:X23"/>
    <mergeCell ref="Z33:AF33"/>
    <mergeCell ref="AG33:AK33"/>
    <mergeCell ref="AG36:AK36"/>
    <mergeCell ref="AG37:AK37"/>
    <mergeCell ref="H36:I36"/>
    <mergeCell ref="J36:Y36"/>
    <mergeCell ref="AB43:AC43"/>
    <mergeCell ref="Z34:AF42"/>
    <mergeCell ref="AG35:AK35"/>
    <mergeCell ref="H39:Y39"/>
    <mergeCell ref="H34:J35"/>
    <mergeCell ref="K34:X35"/>
    <mergeCell ref="H42:L42"/>
    <mergeCell ref="M42:Y42"/>
    <mergeCell ref="AG38:AK38"/>
    <mergeCell ref="H37:Y37"/>
    <mergeCell ref="B10:G10"/>
    <mergeCell ref="B11:G11"/>
    <mergeCell ref="B12:G13"/>
    <mergeCell ref="B14:G14"/>
    <mergeCell ref="B15:G15"/>
    <mergeCell ref="B16:G16"/>
    <mergeCell ref="N58:U59"/>
    <mergeCell ref="V58:AA59"/>
    <mergeCell ref="AB58:AG59"/>
    <mergeCell ref="H16:Y16"/>
    <mergeCell ref="Z54:AB56"/>
    <mergeCell ref="Z51:AH52"/>
    <mergeCell ref="R53:T53"/>
    <mergeCell ref="AB44:AC44"/>
    <mergeCell ref="Z47:AK48"/>
    <mergeCell ref="AE44:AK44"/>
    <mergeCell ref="AG39:AK39"/>
    <mergeCell ref="H40:Y40"/>
    <mergeCell ref="H41:Y41"/>
    <mergeCell ref="AE43:AK43"/>
    <mergeCell ref="H43:L43"/>
    <mergeCell ref="M43:Y43"/>
    <mergeCell ref="Z43:AA43"/>
    <mergeCell ref="Z44:AA44"/>
  </mergeCells>
  <phoneticPr fontId="2"/>
  <pageMargins left="0.47244094488188981" right="0.39370078740157483" top="0.59055118110236227" bottom="0.39370078740157483" header="0.59055118110236227" footer="0.31496062992125984"/>
  <pageSetup paperSize="9" scale="78" orientation="portrait" r:id="rId1"/>
  <headerFooter alignWithMargins="0"/>
  <colBreaks count="1" manualBreakCount="1">
    <brk id="43" max="1048575" man="1"/>
  </colBreaks>
  <drawing r:id="rId2"/>
  <legacyDrawing r:id="rId3"/>
  <controls>
    <mc:AlternateContent xmlns:mc="http://schemas.openxmlformats.org/markup-compatibility/2006">
      <mc:Choice Requires="x14">
        <control shapeId="5126" r:id="rId4" name="ComboBox3">
          <controlPr defaultSize="0" autoLine="0" linkedCell="K34" listFillRange="科目摘要" r:id="rId5">
            <anchor moveWithCells="1">
              <from>
                <xdr:col>24</xdr:col>
                <xdr:colOff>0</xdr:colOff>
                <xdr:row>33</xdr:row>
                <xdr:rowOff>7620</xdr:rowOff>
              </from>
              <to>
                <xdr:col>25</xdr:col>
                <xdr:colOff>15240</xdr:colOff>
                <xdr:row>35</xdr:row>
                <xdr:rowOff>7620</xdr:rowOff>
              </to>
            </anchor>
          </controlPr>
        </control>
      </mc:Choice>
      <mc:Fallback>
        <control shapeId="5126" r:id="rId4" name="ComboBox3"/>
      </mc:Fallback>
    </mc:AlternateContent>
    <mc:AlternateContent xmlns:mc="http://schemas.openxmlformats.org/markup-compatibility/2006">
      <mc:Choice Requires="x14">
        <control shapeId="5125" r:id="rId6" name="ComboBox2">
          <controlPr defaultSize="0" autoLine="0" linkedCell="K22" listFillRange="科目摘要" r:id="rId5">
            <anchor moveWithCells="1">
              <from>
                <xdr:col>24</xdr:col>
                <xdr:colOff>0</xdr:colOff>
                <xdr:row>21</xdr:row>
                <xdr:rowOff>7620</xdr:rowOff>
              </from>
              <to>
                <xdr:col>25</xdr:col>
                <xdr:colOff>15240</xdr:colOff>
                <xdr:row>23</xdr:row>
                <xdr:rowOff>7620</xdr:rowOff>
              </to>
            </anchor>
          </controlPr>
        </control>
      </mc:Choice>
      <mc:Fallback>
        <control shapeId="5125" r:id="rId6" name="ComboBox2"/>
      </mc:Fallback>
    </mc:AlternateContent>
    <mc:AlternateContent xmlns:mc="http://schemas.openxmlformats.org/markup-compatibility/2006">
      <mc:Choice Requires="x14">
        <control shapeId="5121" r:id="rId7" name="ComboBox1">
          <controlPr defaultSize="0" autoLine="0" linkedCell="K10" listFillRange="科目摘要" r:id="rId8">
            <anchor moveWithCells="1">
              <from>
                <xdr:col>24</xdr:col>
                <xdr:colOff>0</xdr:colOff>
                <xdr:row>9</xdr:row>
                <xdr:rowOff>7620</xdr:rowOff>
              </from>
              <to>
                <xdr:col>25</xdr:col>
                <xdr:colOff>15240</xdr:colOff>
                <xdr:row>11</xdr:row>
                <xdr:rowOff>7620</xdr:rowOff>
              </to>
            </anchor>
          </controlPr>
        </control>
      </mc:Choice>
      <mc:Fallback>
        <control shapeId="5121" r:id="rId7" name="Combo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B1:C51"/>
  <sheetViews>
    <sheetView workbookViewId="0"/>
  </sheetViews>
  <sheetFormatPr defaultRowHeight="13.2" x14ac:dyDescent="0.2"/>
  <cols>
    <col min="1" max="1" width="5" customWidth="1"/>
    <col min="2" max="2" width="43.21875" customWidth="1"/>
    <col min="3" max="3" width="48.44140625" customWidth="1"/>
  </cols>
  <sheetData>
    <row r="1" spans="2:3" ht="14.4" x14ac:dyDescent="0.2">
      <c r="B1" s="84" t="s">
        <v>260</v>
      </c>
      <c r="C1" s="62"/>
    </row>
    <row r="2" spans="2:3" ht="14.4" x14ac:dyDescent="0.2">
      <c r="B2" s="68" t="s">
        <v>229</v>
      </c>
      <c r="C2" s="68" t="s">
        <v>230</v>
      </c>
    </row>
    <row r="3" spans="2:3" ht="14.4" x14ac:dyDescent="0.2">
      <c r="B3" s="73"/>
      <c r="C3" s="73" t="s">
        <v>230</v>
      </c>
    </row>
    <row r="4" spans="2:3" ht="14.4" x14ac:dyDescent="0.2">
      <c r="B4" s="73"/>
      <c r="C4" s="73" t="s">
        <v>231</v>
      </c>
    </row>
    <row r="5" spans="2:3" ht="14.4" x14ac:dyDescent="0.2">
      <c r="B5" s="73"/>
      <c r="C5" s="73" t="s">
        <v>232</v>
      </c>
    </row>
    <row r="6" spans="2:3" ht="14.4" x14ac:dyDescent="0.2">
      <c r="B6" s="73"/>
      <c r="C6" s="73" t="s">
        <v>233</v>
      </c>
    </row>
    <row r="7" spans="2:3" ht="14.4" x14ac:dyDescent="0.2">
      <c r="B7" s="73"/>
      <c r="C7" s="73" t="s">
        <v>234</v>
      </c>
    </row>
    <row r="8" spans="2:3" ht="14.4" x14ac:dyDescent="0.2">
      <c r="B8" s="73"/>
      <c r="C8" s="73" t="s">
        <v>235</v>
      </c>
    </row>
    <row r="9" spans="2:3" ht="14.4" x14ac:dyDescent="0.2">
      <c r="B9" s="73"/>
      <c r="C9" s="73"/>
    </row>
    <row r="10" spans="2:3" ht="14.4" x14ac:dyDescent="0.2">
      <c r="B10" s="80" t="s">
        <v>240</v>
      </c>
      <c r="C10" s="80" t="s">
        <v>236</v>
      </c>
    </row>
    <row r="11" spans="2:3" ht="14.4" x14ac:dyDescent="0.2">
      <c r="B11" s="73"/>
      <c r="C11" s="81" t="s">
        <v>237</v>
      </c>
    </row>
    <row r="12" spans="2:3" ht="14.4" x14ac:dyDescent="0.2">
      <c r="B12" s="73"/>
      <c r="C12" s="73" t="s">
        <v>238</v>
      </c>
    </row>
    <row r="13" spans="2:3" ht="14.4" x14ac:dyDescent="0.2">
      <c r="B13" s="73"/>
      <c r="C13" s="73" t="s">
        <v>239</v>
      </c>
    </row>
    <row r="14" spans="2:3" ht="14.4" x14ac:dyDescent="0.2">
      <c r="B14" s="73"/>
      <c r="C14" s="73"/>
    </row>
    <row r="15" spans="2:3" ht="14.4" x14ac:dyDescent="0.2">
      <c r="B15" s="80" t="s">
        <v>256</v>
      </c>
      <c r="C15" s="80" t="s">
        <v>258</v>
      </c>
    </row>
    <row r="16" spans="2:3" ht="14.4" x14ac:dyDescent="0.2">
      <c r="B16" s="73"/>
      <c r="C16" s="73" t="s">
        <v>257</v>
      </c>
    </row>
    <row r="17" spans="2:3" ht="14.4" x14ac:dyDescent="0.2">
      <c r="B17" s="73"/>
      <c r="C17" s="73"/>
    </row>
    <row r="18" spans="2:3" ht="14.4" x14ac:dyDescent="0.2">
      <c r="B18" s="80" t="s">
        <v>241</v>
      </c>
      <c r="C18" s="80" t="s">
        <v>242</v>
      </c>
    </row>
    <row r="19" spans="2:3" ht="14.4" x14ac:dyDescent="0.2">
      <c r="B19" s="73"/>
      <c r="C19" s="73" t="s">
        <v>243</v>
      </c>
    </row>
    <row r="20" spans="2:3" ht="14.4" x14ac:dyDescent="0.2">
      <c r="B20" s="73"/>
      <c r="C20" s="73" t="s">
        <v>244</v>
      </c>
    </row>
    <row r="21" spans="2:3" ht="14.4" x14ac:dyDescent="0.2">
      <c r="B21" s="73"/>
      <c r="C21" s="73" t="s">
        <v>245</v>
      </c>
    </row>
    <row r="22" spans="2:3" ht="14.4" x14ac:dyDescent="0.2">
      <c r="B22" s="73"/>
      <c r="C22" s="73" t="s">
        <v>248</v>
      </c>
    </row>
    <row r="23" spans="2:3" ht="14.4" x14ac:dyDescent="0.2">
      <c r="B23" s="73"/>
      <c r="C23" s="73" t="s">
        <v>246</v>
      </c>
    </row>
    <row r="24" spans="2:3" ht="14.4" x14ac:dyDescent="0.2">
      <c r="B24" s="73"/>
      <c r="C24" s="73" t="s">
        <v>274</v>
      </c>
    </row>
    <row r="25" spans="2:3" ht="14.4" x14ac:dyDescent="0.2">
      <c r="B25" s="73"/>
      <c r="C25" s="73" t="s">
        <v>247</v>
      </c>
    </row>
    <row r="26" spans="2:3" ht="14.4" x14ac:dyDescent="0.2">
      <c r="B26" s="73"/>
      <c r="C26" s="73"/>
    </row>
    <row r="27" spans="2:3" ht="14.4" x14ac:dyDescent="0.2">
      <c r="B27" s="80" t="s">
        <v>250</v>
      </c>
      <c r="C27" s="80" t="s">
        <v>249</v>
      </c>
    </row>
    <row r="28" spans="2:3" ht="14.4" x14ac:dyDescent="0.2">
      <c r="B28" s="83"/>
      <c r="C28" s="83" t="s">
        <v>30</v>
      </c>
    </row>
    <row r="29" spans="2:3" ht="14.4" x14ac:dyDescent="0.2">
      <c r="B29" s="80" t="s">
        <v>91</v>
      </c>
      <c r="C29" s="80" t="s">
        <v>251</v>
      </c>
    </row>
    <row r="30" spans="2:3" ht="14.4" x14ac:dyDescent="0.2">
      <c r="B30" s="73"/>
      <c r="C30" s="73" t="s">
        <v>252</v>
      </c>
    </row>
    <row r="31" spans="2:3" ht="14.4" x14ac:dyDescent="0.2">
      <c r="B31" s="73"/>
      <c r="C31" s="73" t="s">
        <v>253</v>
      </c>
    </row>
    <row r="32" spans="2:3" ht="14.4" x14ac:dyDescent="0.2">
      <c r="B32" s="73"/>
      <c r="C32" s="73" t="s">
        <v>254</v>
      </c>
    </row>
    <row r="33" spans="2:3" ht="14.4" x14ac:dyDescent="0.2">
      <c r="B33" s="83"/>
      <c r="C33" s="83"/>
    </row>
    <row r="34" spans="2:3" ht="14.4" x14ac:dyDescent="0.2">
      <c r="B34" s="73" t="s">
        <v>102</v>
      </c>
      <c r="C34" s="73" t="s">
        <v>261</v>
      </c>
    </row>
    <row r="35" spans="2:3" ht="14.4" x14ac:dyDescent="0.2">
      <c r="B35" s="73" t="s">
        <v>103</v>
      </c>
      <c r="C35" s="73" t="s">
        <v>259</v>
      </c>
    </row>
    <row r="36" spans="2:3" ht="14.4" x14ac:dyDescent="0.2">
      <c r="B36" s="73" t="s">
        <v>266</v>
      </c>
      <c r="C36" s="73" t="s">
        <v>267</v>
      </c>
    </row>
    <row r="37" spans="2:3" ht="14.4" x14ac:dyDescent="0.2">
      <c r="B37" s="83"/>
      <c r="C37" s="83" t="s">
        <v>30</v>
      </c>
    </row>
    <row r="38" spans="2:3" ht="14.4" x14ac:dyDescent="0.2">
      <c r="B38" s="85" t="s">
        <v>276</v>
      </c>
      <c r="C38" s="80" t="s">
        <v>268</v>
      </c>
    </row>
    <row r="39" spans="2:3" ht="14.4" x14ac:dyDescent="0.2">
      <c r="B39" s="82"/>
      <c r="C39" s="82" t="s">
        <v>30</v>
      </c>
    </row>
    <row r="40" spans="2:3" ht="14.4" x14ac:dyDescent="0.2">
      <c r="B40" s="62"/>
      <c r="C40" s="62"/>
    </row>
    <row r="41" spans="2:3" ht="14.4" x14ac:dyDescent="0.2">
      <c r="B41" s="84" t="s">
        <v>277</v>
      </c>
      <c r="C41" s="62"/>
    </row>
    <row r="42" spans="2:3" ht="14.4" x14ac:dyDescent="0.2">
      <c r="B42" s="68" t="s">
        <v>31</v>
      </c>
      <c r="C42" s="88" t="s">
        <v>255</v>
      </c>
    </row>
    <row r="43" spans="2:3" ht="14.4" x14ac:dyDescent="0.2">
      <c r="B43" s="73" t="s">
        <v>95</v>
      </c>
      <c r="C43" s="89" t="s">
        <v>269</v>
      </c>
    </row>
    <row r="44" spans="2:3" ht="14.4" x14ac:dyDescent="0.2">
      <c r="B44" s="73"/>
      <c r="C44" s="89"/>
    </row>
    <row r="45" spans="2:3" ht="14.4" x14ac:dyDescent="0.2">
      <c r="B45" s="73" t="s">
        <v>90</v>
      </c>
      <c r="C45" s="89" t="s">
        <v>279</v>
      </c>
    </row>
    <row r="46" spans="2:3" ht="14.4" x14ac:dyDescent="0.2">
      <c r="B46" s="73" t="s">
        <v>86</v>
      </c>
      <c r="C46" s="89" t="s">
        <v>278</v>
      </c>
    </row>
    <row r="47" spans="2:3" ht="14.4" x14ac:dyDescent="0.2">
      <c r="B47" s="73" t="s">
        <v>92</v>
      </c>
      <c r="C47" s="89" t="s">
        <v>281</v>
      </c>
    </row>
    <row r="48" spans="2:3" x14ac:dyDescent="0.2">
      <c r="B48" s="90" t="s">
        <v>94</v>
      </c>
      <c r="C48" s="86" t="s">
        <v>280</v>
      </c>
    </row>
    <row r="49" spans="2:3" ht="14.4" x14ac:dyDescent="0.2">
      <c r="B49" s="73"/>
      <c r="C49" s="89"/>
    </row>
    <row r="50" spans="2:3" x14ac:dyDescent="0.2">
      <c r="B50" s="90" t="s">
        <v>85</v>
      </c>
      <c r="C50" s="86" t="s">
        <v>282</v>
      </c>
    </row>
    <row r="51" spans="2:3" x14ac:dyDescent="0.2">
      <c r="B51" s="91"/>
      <c r="C51" s="87"/>
    </row>
  </sheetData>
  <sheetProtection password="CC6F" sheet="1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S4"/>
  <sheetViews>
    <sheetView workbookViewId="0">
      <selection activeCell="E1" sqref="E1"/>
    </sheetView>
  </sheetViews>
  <sheetFormatPr defaultRowHeight="13.2" x14ac:dyDescent="0.2"/>
  <cols>
    <col min="1" max="1" width="13.44140625" customWidth="1"/>
    <col min="3" max="3" width="11.5546875" customWidth="1"/>
    <col min="4" max="4" width="29.21875" customWidth="1"/>
    <col min="5" max="5" width="16.44140625" bestFit="1" customWidth="1"/>
    <col min="6" max="6" width="14.44140625" customWidth="1"/>
    <col min="7" max="8" width="29.109375" customWidth="1"/>
    <col min="9" max="10" width="15.5546875" customWidth="1"/>
    <col min="11" max="12" width="20.6640625" customWidth="1"/>
    <col min="13" max="13" width="20" customWidth="1"/>
    <col min="14" max="14" width="10.5546875" customWidth="1"/>
    <col min="15" max="15" width="18" customWidth="1"/>
    <col min="16" max="16" width="22.109375" customWidth="1"/>
    <col min="17" max="17" width="54.88671875" customWidth="1"/>
    <col min="18" max="18" width="34.77734375" customWidth="1"/>
    <col min="19" max="19" width="39.77734375" customWidth="1"/>
  </cols>
  <sheetData>
    <row r="1" spans="1:19" x14ac:dyDescent="0.2">
      <c r="A1" t="s">
        <v>147</v>
      </c>
      <c r="B1" s="56" t="s">
        <v>78</v>
      </c>
      <c r="C1" s="56" t="s">
        <v>2</v>
      </c>
      <c r="D1" s="56" t="s">
        <v>80</v>
      </c>
      <c r="E1" s="56" t="s">
        <v>5</v>
      </c>
      <c r="F1" s="56" t="s">
        <v>145</v>
      </c>
      <c r="G1" s="56" t="s">
        <v>97</v>
      </c>
      <c r="H1" s="56" t="s">
        <v>112</v>
      </c>
      <c r="I1" s="61" t="s">
        <v>114</v>
      </c>
      <c r="J1" s="60" t="s">
        <v>98</v>
      </c>
      <c r="K1" s="56" t="s">
        <v>99</v>
      </c>
      <c r="L1" s="56" t="s">
        <v>113</v>
      </c>
      <c r="M1" s="60" t="s">
        <v>100</v>
      </c>
      <c r="N1" s="56" t="s">
        <v>81</v>
      </c>
      <c r="O1" s="56" t="s">
        <v>262</v>
      </c>
      <c r="P1" s="56" t="s">
        <v>83</v>
      </c>
      <c r="Q1" s="56" t="s">
        <v>6</v>
      </c>
      <c r="R1" s="56" t="s">
        <v>84</v>
      </c>
      <c r="S1" s="56" t="s">
        <v>79</v>
      </c>
    </row>
    <row r="2" spans="1:19" x14ac:dyDescent="0.2">
      <c r="A2" t="s">
        <v>146</v>
      </c>
      <c r="B2" s="56">
        <f>'経費（個人）精算書'!R$5</f>
        <v>0</v>
      </c>
      <c r="C2" s="56">
        <f>'経費（個人）精算書'!N5</f>
        <v>0</v>
      </c>
      <c r="D2" s="56">
        <f>IF('経費（個人）精算書'!A15="",'経費（個人）精算書'!$J$5,'経費（個人）精算書'!A15)</f>
        <v>0</v>
      </c>
      <c r="E2" s="79">
        <f>'経費（個人）精算書'!A10</f>
        <v>0</v>
      </c>
      <c r="F2" s="57" t="str">
        <f>IF(D2="管理部","",IF(D2="営業部","",IF(D2="取締役会","","製造部門")))</f>
        <v>製造部門</v>
      </c>
      <c r="G2" s="56" t="str">
        <f>IF('経費（個人）精算書'!J10="","",'経費（個人）精算書'!J10)</f>
        <v/>
      </c>
      <c r="H2" s="56" t="str">
        <f>IF(G2="","",IF(ISNUMBER(FIND("＿",G2,1)),LEFT(G2,FIND("＿",G2,1)-1),G2))</f>
        <v/>
      </c>
      <c r="I2" s="61" t="str">
        <f>IF(H2="","",IF(ISNA(VLOOKUP(H2,科目!A:A,1,FALSE)),"その他",VLOOKUP(H2,科目!A:A,1,FALSE)))</f>
        <v/>
      </c>
      <c r="J2" s="60" t="e">
        <f>IF(F2="製造部門",VLOOKUP(I2,科目!D:E,2,FALSE),I2)</f>
        <v>#N/A</v>
      </c>
      <c r="K2" s="56" t="str">
        <f>IF(G2&lt;&gt;H2,RIGHT(G2,LEN(G2)-LEN(H2)-1),"")</f>
        <v/>
      </c>
      <c r="L2" s="56" t="e">
        <f>IF(K2&lt;&gt;"",K2,IF(VLOOKUP(I2,科目!D:G,3,FALSE)="","",VLOOKUP(I2,科目!D:G,4,FALSE)))</f>
        <v>#N/A</v>
      </c>
      <c r="M2" s="60" t="e">
        <f>IF(L2="社員名",B2,L2)</f>
        <v>#N/A</v>
      </c>
      <c r="N2" s="58">
        <f>'経費（個人）精算書'!Y10</f>
        <v>0</v>
      </c>
      <c r="O2" s="58">
        <f>'経費（個人）精算書'!A12</f>
        <v>0</v>
      </c>
      <c r="P2" s="56" t="s">
        <v>82</v>
      </c>
      <c r="Q2" s="59" t="str">
        <f>LEFTB('経費（個人）精算書'!I12&amp;'経費（個人）精算書'!G13&amp;'経費（個人）精算書'!G14&amp;'経費（個人）精算書'!G15&amp;'経費（個人）精算書'!G16&amp;'経費（個人）精算書'!G17,64)</f>
        <v/>
      </c>
      <c r="R2" s="59" t="str">
        <f>'経費（個人）精算書'!A17</f>
        <v/>
      </c>
      <c r="S2" t="str">
        <f ca="1">MID(CELL("filename"),FIND("[",CELL("filename"))+1,FIND("]",CELL("filename"))-FIND("[",CELL("filename"))-1)</f>
        <v>精算書_集（個人経費立替）_氏名_YYYYMM.xlsx</v>
      </c>
    </row>
    <row r="3" spans="1:19" x14ac:dyDescent="0.2">
      <c r="A3" t="s">
        <v>146</v>
      </c>
      <c r="B3" s="56">
        <f>'経費（個人）精算書'!R$5</f>
        <v>0</v>
      </c>
      <c r="C3" s="56">
        <f>'経費（個人）精算書'!N5</f>
        <v>0</v>
      </c>
      <c r="D3" s="56">
        <f>IF('経費（個人）精算書'!A27="",'経費（個人）精算書'!$J$5,'経費（個人）精算書'!A27)</f>
        <v>0</v>
      </c>
      <c r="E3" s="79">
        <f>'経費（個人）精算書'!A22</f>
        <v>0</v>
      </c>
      <c r="F3" s="57" t="str">
        <f>IF(D3="管理部","",IF(D3="営業部","",IF(D3="取締役会","","製造部門")))</f>
        <v>製造部門</v>
      </c>
      <c r="G3" s="56" t="str">
        <f>IF('経費（個人）精算書'!J22="","",'経費（個人）精算書'!J22)</f>
        <v/>
      </c>
      <c r="H3" s="56" t="str">
        <f>IF(G3="","",IF(ISNUMBER(FIND("＿",G3,1)),LEFT(G3,FIND("＿",G3,1)-1),G3))</f>
        <v/>
      </c>
      <c r="I3" s="61" t="str">
        <f>IF(H3="","",IF(ISNA(VLOOKUP(H3,科目!A:A,1,FALSE)),"その他",VLOOKUP(H3,科目!A:A,1,FALSE)))</f>
        <v/>
      </c>
      <c r="J3" s="60" t="e">
        <f>IF(F3="製造部門",VLOOKUP(I3,科目!D:E,2,FALSE),I3)</f>
        <v>#N/A</v>
      </c>
      <c r="K3" s="56" t="str">
        <f>IF(G3&lt;&gt;H3,RIGHT(G3,LEN(G3)-LEN(H3)-1),"")</f>
        <v/>
      </c>
      <c r="L3" s="56" t="e">
        <f>IF(K3&lt;&gt;"",K3,IF(VLOOKUP(I3,科目!D:G,3,FALSE)="","",VLOOKUP(I3,科目!D:G,4,FALSE)))</f>
        <v>#N/A</v>
      </c>
      <c r="M3" s="60" t="e">
        <f>IF(L3="社員名",B3,L3)</f>
        <v>#N/A</v>
      </c>
      <c r="N3" s="58">
        <f>'経費（個人）精算書'!Y22</f>
        <v>0</v>
      </c>
      <c r="O3" s="58">
        <f>'経費（個人）精算書'!A24</f>
        <v>0</v>
      </c>
      <c r="P3" s="56" t="s">
        <v>82</v>
      </c>
      <c r="Q3" s="59" t="str">
        <f>LEFTB('経費（個人）精算書'!I24&amp;'経費（個人）精算書'!G25&amp;'経費（個人）精算書'!G26&amp;'経費（個人）精算書'!G27&amp;'経費（個人）精算書'!G28&amp;'経費（個人）精算書'!G29,64)</f>
        <v/>
      </c>
      <c r="R3" s="59">
        <f>'経費（個人）精算書'!A29</f>
        <v>0</v>
      </c>
      <c r="S3" t="str">
        <f ca="1">MID(CELL("filename"),FIND("[",CELL("filename"))+1,FIND("]",CELL("filename"))-FIND("[",CELL("filename"))-1)</f>
        <v>精算書_集（個人経費立替）_氏名_YYYYMM.xlsx</v>
      </c>
    </row>
    <row r="4" spans="1:19" x14ac:dyDescent="0.2">
      <c r="A4" t="s">
        <v>146</v>
      </c>
      <c r="B4" s="56">
        <f>'経費（個人）精算書'!R$5</f>
        <v>0</v>
      </c>
      <c r="C4" s="56">
        <f>'経費（個人）精算書'!N5</f>
        <v>0</v>
      </c>
      <c r="D4" s="56">
        <f>IF('経費（個人）精算書'!A39="",'経費（個人）精算書'!$J$5,'経費（個人）精算書'!A39)</f>
        <v>0</v>
      </c>
      <c r="E4" s="79">
        <f>'経費（個人）精算書'!A34</f>
        <v>0</v>
      </c>
      <c r="F4" s="57" t="str">
        <f>IF(D4="管理部","",IF(D4="営業部","",IF(D4="取締役会","","製造部門")))</f>
        <v>製造部門</v>
      </c>
      <c r="G4" s="56" t="str">
        <f>IF('経費（個人）精算書'!J34="","",'経費（個人）精算書'!J34)</f>
        <v/>
      </c>
      <c r="H4" s="56" t="str">
        <f>IF(G4="","",IF(ISNUMBER(FIND("＿",G4,1)),LEFT(G4,FIND("＿",G4,1)-1),G4))</f>
        <v/>
      </c>
      <c r="I4" s="61" t="str">
        <f>IF(H4="","",IF(ISNA(VLOOKUP(H4,科目!A:A,1,FALSE)),"その他",VLOOKUP(H4,科目!A:A,1,FALSE)))</f>
        <v/>
      </c>
      <c r="J4" s="60" t="e">
        <f>IF(F4="製造部門",VLOOKUP(I4,科目!D:E,2,FALSE),I4)</f>
        <v>#N/A</v>
      </c>
      <c r="K4" s="56" t="str">
        <f>IF(G4&lt;&gt;H4,RIGHT(G4,LEN(G4)-LEN(H4)-1),"")</f>
        <v/>
      </c>
      <c r="L4" s="56" t="e">
        <f>IF(K4&lt;&gt;"",K4,IF(VLOOKUP(I4,科目!D:G,3,FALSE)="","",VLOOKUP(I4,科目!D:G,4,FALSE)))</f>
        <v>#N/A</v>
      </c>
      <c r="M4" s="60" t="e">
        <f>IF(L4="社員名",B4,L4)</f>
        <v>#N/A</v>
      </c>
      <c r="N4" s="58">
        <f>'経費（個人）精算書'!Y34</f>
        <v>0</v>
      </c>
      <c r="O4" s="58">
        <f>'経費（個人）精算書'!A36</f>
        <v>0</v>
      </c>
      <c r="P4" s="56" t="s">
        <v>82</v>
      </c>
      <c r="Q4" s="59" t="str">
        <f>LEFTB('経費（個人）精算書'!I36&amp;'経費（個人）精算書'!G37&amp;'経費（個人）精算書'!G38&amp;'経費（個人）精算書'!G39&amp;'経費（個人）精算書'!G40&amp;'経費（個人）精算書'!G41,64)</f>
        <v/>
      </c>
      <c r="R4" s="59">
        <f>'経費（個人）精算書'!A41</f>
        <v>0</v>
      </c>
      <c r="S4" t="str">
        <f ca="1">MID(CELL("filename"),FIND("[",CELL("filename"))+1,FIND("]",CELL("filename"))-FIND("[",CELL("filename"))-1)</f>
        <v>精算書_集（個人経費立替）_氏名_YYYYMM.xlsx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G161"/>
  <sheetViews>
    <sheetView showGridLines="0" zoomScale="85" zoomScaleNormal="100" workbookViewId="0"/>
  </sheetViews>
  <sheetFormatPr defaultColWidth="9" defaultRowHeight="12" x14ac:dyDescent="0.15"/>
  <cols>
    <col min="1" max="1" width="40.44140625" style="1" bestFit="1" customWidth="1"/>
    <col min="2" max="2" width="10.21875" style="5" bestFit="1" customWidth="1"/>
    <col min="3" max="3" width="9" style="3"/>
    <col min="4" max="4" width="25.44140625" style="1" customWidth="1"/>
    <col min="5" max="5" width="20.6640625" style="1" customWidth="1"/>
    <col min="6" max="6" width="9.88671875" style="3" customWidth="1"/>
    <col min="7" max="7" width="18.44140625" style="1" bestFit="1" customWidth="1"/>
    <col min="8" max="16384" width="9" style="1"/>
  </cols>
  <sheetData>
    <row r="1" spans="1:7" ht="14.4" x14ac:dyDescent="0.2">
      <c r="A1" s="62" t="s">
        <v>23</v>
      </c>
      <c r="B1" s="63"/>
      <c r="C1" s="64"/>
      <c r="D1" s="62"/>
      <c r="E1" s="62"/>
      <c r="F1" s="64"/>
      <c r="G1" s="62"/>
    </row>
    <row r="2" spans="1:7" ht="14.4" x14ac:dyDescent="0.2">
      <c r="A2" s="65" t="s">
        <v>6</v>
      </c>
      <c r="B2" s="66"/>
      <c r="C2" s="67" t="s">
        <v>24</v>
      </c>
      <c r="D2" s="66" t="s">
        <v>25</v>
      </c>
      <c r="E2" s="66" t="s">
        <v>115</v>
      </c>
      <c r="F2" s="67" t="s">
        <v>26</v>
      </c>
      <c r="G2" s="65" t="s">
        <v>27</v>
      </c>
    </row>
    <row r="3" spans="1:7" ht="14.4" x14ac:dyDescent="0.2">
      <c r="A3" s="68"/>
      <c r="B3" s="69" t="str">
        <f>C3&amp;F3</f>
        <v/>
      </c>
      <c r="C3" s="70"/>
      <c r="D3" s="68"/>
      <c r="E3" s="68"/>
      <c r="F3" s="71" t="s">
        <v>30</v>
      </c>
      <c r="G3" s="72" t="s">
        <v>30</v>
      </c>
    </row>
    <row r="4" spans="1:7" ht="14.4" x14ac:dyDescent="0.2">
      <c r="A4" s="73" t="str">
        <f>D4</f>
        <v>交際費</v>
      </c>
      <c r="B4" s="74"/>
      <c r="C4" s="76" t="s">
        <v>129</v>
      </c>
      <c r="D4" s="73" t="s">
        <v>87</v>
      </c>
      <c r="E4" s="73" t="s">
        <v>116</v>
      </c>
      <c r="F4" s="75" t="s">
        <v>142</v>
      </c>
      <c r="G4" s="73" t="s">
        <v>109</v>
      </c>
    </row>
    <row r="5" spans="1:7" ht="14.4" x14ac:dyDescent="0.2">
      <c r="A5" s="73" t="str">
        <f>D5</f>
        <v>会議費</v>
      </c>
      <c r="B5" s="74"/>
      <c r="C5" s="75" t="s">
        <v>130</v>
      </c>
      <c r="D5" s="73" t="s">
        <v>28</v>
      </c>
      <c r="E5" s="73" t="s">
        <v>117</v>
      </c>
      <c r="F5" s="75" t="s">
        <v>142</v>
      </c>
      <c r="G5" s="73" t="s">
        <v>110</v>
      </c>
    </row>
    <row r="6" spans="1:7" ht="14.4" x14ac:dyDescent="0.2">
      <c r="A6" s="73" t="str">
        <f>D6</f>
        <v>旅費交通費</v>
      </c>
      <c r="B6" s="74"/>
      <c r="C6" s="75" t="s">
        <v>131</v>
      </c>
      <c r="D6" s="73" t="s">
        <v>88</v>
      </c>
      <c r="E6" s="73" t="s">
        <v>118</v>
      </c>
      <c r="F6" s="75" t="s">
        <v>143</v>
      </c>
      <c r="G6" s="73" t="s">
        <v>111</v>
      </c>
    </row>
    <row r="7" spans="1:7" ht="14.4" x14ac:dyDescent="0.2">
      <c r="A7" s="73" t="str">
        <f>D7</f>
        <v>通信費</v>
      </c>
      <c r="B7" s="74"/>
      <c r="C7" s="75" t="s">
        <v>132</v>
      </c>
      <c r="D7" s="73" t="s">
        <v>32</v>
      </c>
      <c r="E7" s="62" t="s">
        <v>119</v>
      </c>
      <c r="F7" s="75"/>
      <c r="G7" s="73"/>
    </row>
    <row r="8" spans="1:7" ht="14.4" x14ac:dyDescent="0.2">
      <c r="A8" s="73" t="s">
        <v>89</v>
      </c>
      <c r="B8" s="74"/>
      <c r="C8" s="75" t="s">
        <v>133</v>
      </c>
      <c r="D8" s="73" t="s">
        <v>89</v>
      </c>
      <c r="E8" s="73" t="s">
        <v>120</v>
      </c>
      <c r="F8" s="75"/>
      <c r="G8" s="73"/>
    </row>
    <row r="9" spans="1:7" ht="14.4" x14ac:dyDescent="0.2">
      <c r="A9" s="73" t="str">
        <f>D9</f>
        <v>図書費</v>
      </c>
      <c r="B9" s="74"/>
      <c r="C9" s="75" t="s">
        <v>275</v>
      </c>
      <c r="D9" s="73" t="s">
        <v>91</v>
      </c>
      <c r="E9" s="62" t="s">
        <v>121</v>
      </c>
      <c r="F9" s="75"/>
      <c r="G9" s="73"/>
    </row>
    <row r="10" spans="1:7" ht="14.4" x14ac:dyDescent="0.2">
      <c r="A10" s="73"/>
      <c r="B10" s="74"/>
      <c r="C10" s="75"/>
      <c r="D10" s="73"/>
      <c r="E10" s="73"/>
      <c r="F10" s="75"/>
      <c r="G10" s="73"/>
    </row>
    <row r="11" spans="1:7" ht="14.4" x14ac:dyDescent="0.2">
      <c r="A11" s="73" t="s">
        <v>102</v>
      </c>
      <c r="B11" s="74"/>
      <c r="C11" s="75" t="s">
        <v>134</v>
      </c>
      <c r="D11" s="73" t="s">
        <v>101</v>
      </c>
      <c r="E11" t="s">
        <v>122</v>
      </c>
      <c r="F11" s="75" t="s">
        <v>143</v>
      </c>
      <c r="G11" s="73" t="s">
        <v>105</v>
      </c>
    </row>
    <row r="12" spans="1:7" ht="14.4" x14ac:dyDescent="0.2">
      <c r="A12" s="73" t="s">
        <v>103</v>
      </c>
      <c r="B12" s="74"/>
      <c r="C12" s="75" t="s">
        <v>134</v>
      </c>
      <c r="D12" s="73" t="s">
        <v>101</v>
      </c>
      <c r="E12" t="s">
        <v>122</v>
      </c>
      <c r="F12" s="75" t="s">
        <v>144</v>
      </c>
      <c r="G12" s="73" t="s">
        <v>106</v>
      </c>
    </row>
    <row r="13" spans="1:7" ht="14.4" x14ac:dyDescent="0.2">
      <c r="A13" s="73" t="s">
        <v>263</v>
      </c>
      <c r="B13" s="74"/>
      <c r="C13" s="75" t="s">
        <v>134</v>
      </c>
      <c r="D13" s="73" t="s">
        <v>101</v>
      </c>
      <c r="E13" t="s">
        <v>122</v>
      </c>
      <c r="F13" s="75" t="s">
        <v>265</v>
      </c>
      <c r="G13" s="73" t="s">
        <v>264</v>
      </c>
    </row>
    <row r="14" spans="1:7" ht="14.4" x14ac:dyDescent="0.2">
      <c r="A14" s="73" t="s">
        <v>104</v>
      </c>
      <c r="B14" s="74"/>
      <c r="C14" s="75" t="s">
        <v>134</v>
      </c>
      <c r="D14" s="73" t="s">
        <v>101</v>
      </c>
      <c r="E14" t="s">
        <v>122</v>
      </c>
      <c r="F14" s="75"/>
      <c r="G14" s="73"/>
    </row>
    <row r="15" spans="1:7" ht="14.4" x14ac:dyDescent="0.2">
      <c r="A15" s="73"/>
      <c r="B15" s="74"/>
      <c r="C15" s="75"/>
      <c r="D15" s="73"/>
      <c r="E15" s="73"/>
      <c r="F15" s="75"/>
      <c r="G15" s="73"/>
    </row>
    <row r="16" spans="1:7" ht="14.4" x14ac:dyDescent="0.2">
      <c r="A16" s="73" t="str">
        <f>D16</f>
        <v>他支払手数料</v>
      </c>
      <c r="B16" s="74"/>
      <c r="C16" s="75" t="s">
        <v>135</v>
      </c>
      <c r="D16" s="73" t="s">
        <v>93</v>
      </c>
      <c r="E16" t="s">
        <v>126</v>
      </c>
      <c r="F16" s="75"/>
      <c r="G16" s="73"/>
    </row>
    <row r="17" spans="1:7" ht="14.4" x14ac:dyDescent="0.2">
      <c r="A17" s="73"/>
      <c r="B17" s="74"/>
      <c r="C17" s="75"/>
      <c r="D17" s="73"/>
      <c r="E17" s="73"/>
      <c r="F17" s="75"/>
      <c r="G17" s="73"/>
    </row>
    <row r="18" spans="1:7" ht="14.4" x14ac:dyDescent="0.2">
      <c r="A18" s="73" t="str">
        <f>D18</f>
        <v>印紙税</v>
      </c>
      <c r="B18" s="74"/>
      <c r="C18" s="75" t="s">
        <v>136</v>
      </c>
      <c r="D18" s="73" t="s">
        <v>31</v>
      </c>
      <c r="E18" s="73" t="s">
        <v>31</v>
      </c>
      <c r="F18" s="75"/>
      <c r="G18" s="73"/>
    </row>
    <row r="19" spans="1:7" ht="14.4" x14ac:dyDescent="0.2">
      <c r="A19" s="73" t="str">
        <f>D19</f>
        <v>他租税公課</v>
      </c>
      <c r="B19" s="74"/>
      <c r="C19" s="75" t="s">
        <v>272</v>
      </c>
      <c r="D19" s="73" t="s">
        <v>95</v>
      </c>
      <c r="E19" s="73" t="s">
        <v>95</v>
      </c>
      <c r="F19" s="75"/>
      <c r="G19" s="73"/>
    </row>
    <row r="20" spans="1:7" ht="14.4" x14ac:dyDescent="0.2">
      <c r="A20" s="73"/>
      <c r="B20" s="74"/>
      <c r="C20" s="75"/>
      <c r="D20" s="73"/>
      <c r="E20" s="73"/>
      <c r="F20" s="75"/>
      <c r="G20" s="73"/>
    </row>
    <row r="21" spans="1:7" ht="14.4" x14ac:dyDescent="0.2">
      <c r="A21" s="73" t="str">
        <f>D21</f>
        <v>水道光熱費</v>
      </c>
      <c r="B21" s="74"/>
      <c r="C21" s="75" t="s">
        <v>137</v>
      </c>
      <c r="D21" s="73" t="s">
        <v>90</v>
      </c>
      <c r="E21" t="s">
        <v>123</v>
      </c>
      <c r="F21" s="75"/>
      <c r="G21" s="73"/>
    </row>
    <row r="22" spans="1:7" ht="14.4" x14ac:dyDescent="0.2">
      <c r="A22" s="73" t="str">
        <f>D22</f>
        <v>荷造運賃</v>
      </c>
      <c r="B22" s="74"/>
      <c r="C22" s="75" t="s">
        <v>138</v>
      </c>
      <c r="D22" s="73" t="s">
        <v>270</v>
      </c>
      <c r="E22" t="s">
        <v>271</v>
      </c>
      <c r="F22" s="75"/>
      <c r="G22" s="73"/>
    </row>
    <row r="23" spans="1:7" ht="14.4" x14ac:dyDescent="0.2">
      <c r="A23" s="73" t="str">
        <f>D23</f>
        <v>諸会費</v>
      </c>
      <c r="B23" s="74"/>
      <c r="C23" s="75" t="s">
        <v>139</v>
      </c>
      <c r="D23" s="73" t="s">
        <v>92</v>
      </c>
      <c r="E23" t="s">
        <v>124</v>
      </c>
      <c r="F23" s="75"/>
      <c r="G23" s="73"/>
    </row>
    <row r="24" spans="1:7" ht="14.4" x14ac:dyDescent="0.2">
      <c r="A24" s="73" t="str">
        <f>D24</f>
        <v>保険料</v>
      </c>
      <c r="B24" s="74"/>
      <c r="C24" s="75" t="s">
        <v>140</v>
      </c>
      <c r="D24" s="73" t="s">
        <v>94</v>
      </c>
      <c r="E24" t="s">
        <v>125</v>
      </c>
      <c r="F24" s="75"/>
      <c r="G24" s="73"/>
    </row>
    <row r="25" spans="1:7" ht="14.4" x14ac:dyDescent="0.2">
      <c r="A25" s="73"/>
      <c r="B25" s="74"/>
      <c r="C25" s="75"/>
      <c r="D25" s="73"/>
      <c r="E25" s="73"/>
      <c r="F25" s="75"/>
      <c r="G25" s="73"/>
    </row>
    <row r="26" spans="1:7" ht="14.4" x14ac:dyDescent="0.2">
      <c r="A26" s="73" t="s">
        <v>107</v>
      </c>
      <c r="B26" s="74"/>
      <c r="C26" s="75" t="s">
        <v>141</v>
      </c>
      <c r="D26" s="73" t="s">
        <v>85</v>
      </c>
      <c r="E26" s="73" t="s">
        <v>85</v>
      </c>
      <c r="F26" s="75" t="s">
        <v>142</v>
      </c>
      <c r="G26" s="73" t="s">
        <v>108</v>
      </c>
    </row>
    <row r="27" spans="1:7" ht="14.4" x14ac:dyDescent="0.2">
      <c r="A27" s="73" t="s">
        <v>85</v>
      </c>
      <c r="B27" s="74"/>
      <c r="C27" s="75" t="s">
        <v>141</v>
      </c>
      <c r="D27" s="73" t="s">
        <v>85</v>
      </c>
      <c r="E27" s="73" t="s">
        <v>85</v>
      </c>
      <c r="F27" s="75"/>
      <c r="G27" s="73"/>
    </row>
    <row r="28" spans="1:7" ht="14.4" x14ac:dyDescent="0.2">
      <c r="A28" s="73"/>
      <c r="B28" s="74"/>
      <c r="C28" s="75"/>
      <c r="D28" s="73"/>
      <c r="E28" s="73"/>
      <c r="F28" s="75"/>
      <c r="G28" s="73"/>
    </row>
    <row r="29" spans="1:7" ht="14.4" x14ac:dyDescent="0.2">
      <c r="A29" s="73" t="s">
        <v>96</v>
      </c>
      <c r="B29" s="74"/>
      <c r="C29" s="75" t="s">
        <v>273</v>
      </c>
      <c r="D29" s="73" t="s">
        <v>96</v>
      </c>
      <c r="E29" s="73" t="s">
        <v>96</v>
      </c>
      <c r="F29" s="75"/>
      <c r="G29" s="73"/>
    </row>
    <row r="30" spans="1:7" ht="14.4" x14ac:dyDescent="0.2">
      <c r="A30" s="73"/>
      <c r="B30" s="74"/>
      <c r="C30" s="75"/>
      <c r="D30" s="73"/>
      <c r="E30" s="73"/>
      <c r="F30" s="75"/>
      <c r="G30" s="73"/>
    </row>
    <row r="31" spans="1:7" ht="14.4" x14ac:dyDescent="0.2">
      <c r="A31" s="73"/>
      <c r="B31" s="74"/>
      <c r="C31" s="75"/>
      <c r="D31" s="73"/>
      <c r="E31" s="73"/>
      <c r="F31" s="75"/>
      <c r="G31" s="73"/>
    </row>
    <row r="32" spans="1:7" ht="14.4" x14ac:dyDescent="0.2">
      <c r="A32" s="73"/>
      <c r="B32" s="74"/>
      <c r="C32" s="75"/>
      <c r="D32" s="73"/>
      <c r="E32" s="73"/>
      <c r="F32" s="75"/>
      <c r="G32" s="73"/>
    </row>
    <row r="33" spans="1:7" ht="14.4" x14ac:dyDescent="0.2">
      <c r="A33" s="73"/>
      <c r="B33" s="74"/>
      <c r="C33" s="75"/>
      <c r="D33" s="73"/>
      <c r="E33" s="73"/>
      <c r="F33" s="75"/>
      <c r="G33" s="73"/>
    </row>
    <row r="34" spans="1:7" ht="14.4" x14ac:dyDescent="0.2">
      <c r="A34" s="73"/>
      <c r="B34" s="74"/>
      <c r="C34" s="75"/>
      <c r="D34" s="73"/>
      <c r="E34" s="73"/>
      <c r="F34" s="75"/>
      <c r="G34" s="73"/>
    </row>
    <row r="35" spans="1:7" ht="14.4" x14ac:dyDescent="0.2">
      <c r="A35" s="73"/>
      <c r="B35" s="74"/>
      <c r="C35" s="75"/>
      <c r="D35" s="73"/>
      <c r="E35" s="73"/>
      <c r="F35" s="75"/>
      <c r="G35" s="73"/>
    </row>
    <row r="36" spans="1:7" ht="14.4" x14ac:dyDescent="0.2">
      <c r="A36" s="73"/>
      <c r="B36" s="74"/>
      <c r="C36" s="75"/>
      <c r="D36" s="73"/>
      <c r="E36" s="73"/>
      <c r="F36" s="75"/>
      <c r="G36" s="73"/>
    </row>
    <row r="37" spans="1:7" ht="14.4" x14ac:dyDescent="0.2">
      <c r="A37" s="73"/>
      <c r="B37" s="74"/>
      <c r="C37" s="75"/>
      <c r="D37" s="73"/>
      <c r="E37" s="73"/>
      <c r="F37" s="75"/>
      <c r="G37" s="73"/>
    </row>
    <row r="38" spans="1:7" x14ac:dyDescent="0.15">
      <c r="A38" s="2"/>
      <c r="B38" s="6" t="str">
        <f t="shared" ref="B38:B75" si="0">C38&amp;F38</f>
        <v/>
      </c>
      <c r="C38" s="4"/>
      <c r="D38" s="2"/>
      <c r="E38" s="2"/>
      <c r="F38" s="4"/>
      <c r="G38" s="2"/>
    </row>
    <row r="39" spans="1:7" x14ac:dyDescent="0.15">
      <c r="A39" s="2"/>
      <c r="B39" s="6" t="str">
        <f t="shared" si="0"/>
        <v/>
      </c>
      <c r="C39" s="4"/>
      <c r="D39" s="2"/>
      <c r="E39" s="2"/>
      <c r="F39" s="4"/>
      <c r="G39" s="2"/>
    </row>
    <row r="40" spans="1:7" x14ac:dyDescent="0.15">
      <c r="A40" s="2"/>
      <c r="B40" s="6"/>
      <c r="C40" s="4"/>
      <c r="D40" s="2"/>
      <c r="E40" s="2"/>
      <c r="F40" s="4"/>
      <c r="G40" s="2"/>
    </row>
    <row r="41" spans="1:7" x14ac:dyDescent="0.15">
      <c r="A41" s="2"/>
      <c r="B41" s="6" t="str">
        <f t="shared" si="0"/>
        <v/>
      </c>
      <c r="C41" s="4"/>
      <c r="D41" s="2"/>
      <c r="E41" s="2"/>
      <c r="F41" s="4"/>
      <c r="G41" s="2"/>
    </row>
    <row r="42" spans="1:7" x14ac:dyDescent="0.15">
      <c r="A42" s="2"/>
      <c r="B42" s="6" t="str">
        <f t="shared" si="0"/>
        <v/>
      </c>
      <c r="C42" s="4"/>
      <c r="D42" s="2"/>
      <c r="E42" s="2"/>
      <c r="F42" s="4"/>
      <c r="G42" s="2"/>
    </row>
    <row r="43" spans="1:7" x14ac:dyDescent="0.15">
      <c r="A43" s="2"/>
      <c r="B43" s="6" t="str">
        <f t="shared" si="0"/>
        <v/>
      </c>
      <c r="C43" s="4"/>
      <c r="D43" s="2"/>
      <c r="E43" s="2"/>
      <c r="F43" s="4"/>
      <c r="G43" s="2"/>
    </row>
    <row r="44" spans="1:7" x14ac:dyDescent="0.15">
      <c r="A44" s="2"/>
      <c r="B44" s="6" t="str">
        <f t="shared" si="0"/>
        <v/>
      </c>
      <c r="C44" s="4"/>
      <c r="D44" s="2"/>
      <c r="E44" s="2"/>
      <c r="F44" s="4"/>
      <c r="G44" s="2"/>
    </row>
    <row r="45" spans="1:7" x14ac:dyDescent="0.15">
      <c r="A45" s="2"/>
      <c r="B45" s="6" t="str">
        <f t="shared" si="0"/>
        <v/>
      </c>
      <c r="C45" s="4"/>
      <c r="D45" s="2"/>
      <c r="E45" s="2"/>
      <c r="F45" s="4"/>
      <c r="G45" s="2"/>
    </row>
    <row r="46" spans="1:7" x14ac:dyDescent="0.15">
      <c r="A46" s="2"/>
      <c r="B46" s="6" t="str">
        <f t="shared" si="0"/>
        <v/>
      </c>
      <c r="C46" s="4"/>
      <c r="D46" s="2"/>
      <c r="E46" s="2"/>
      <c r="F46" s="4"/>
      <c r="G46" s="2"/>
    </row>
    <row r="47" spans="1:7" x14ac:dyDescent="0.15">
      <c r="A47" s="2"/>
      <c r="B47" s="6" t="str">
        <f t="shared" si="0"/>
        <v/>
      </c>
      <c r="C47" s="4"/>
      <c r="D47" s="2"/>
      <c r="E47" s="2"/>
      <c r="F47" s="4"/>
      <c r="G47" s="2"/>
    </row>
    <row r="48" spans="1:7" x14ac:dyDescent="0.15">
      <c r="A48" s="2"/>
      <c r="B48" s="6" t="str">
        <f t="shared" si="0"/>
        <v/>
      </c>
      <c r="C48" s="4"/>
      <c r="D48" s="2"/>
      <c r="E48" s="2"/>
      <c r="F48" s="4"/>
      <c r="G48" s="2"/>
    </row>
    <row r="49" spans="1:7" x14ac:dyDescent="0.15">
      <c r="A49" s="2"/>
      <c r="B49" s="6" t="str">
        <f t="shared" si="0"/>
        <v/>
      </c>
      <c r="C49" s="4"/>
      <c r="D49" s="2"/>
      <c r="E49" s="2"/>
      <c r="F49" s="4"/>
      <c r="G49" s="2"/>
    </row>
    <row r="50" spans="1:7" x14ac:dyDescent="0.15">
      <c r="A50" s="2"/>
      <c r="B50" s="6" t="str">
        <f t="shared" si="0"/>
        <v/>
      </c>
      <c r="C50" s="4"/>
      <c r="D50" s="2"/>
      <c r="E50" s="2"/>
      <c r="F50" s="4"/>
      <c r="G50" s="2"/>
    </row>
    <row r="51" spans="1:7" x14ac:dyDescent="0.15">
      <c r="A51" s="2"/>
      <c r="B51" s="6" t="str">
        <f t="shared" si="0"/>
        <v/>
      </c>
      <c r="C51" s="4"/>
      <c r="D51" s="2"/>
      <c r="E51" s="2"/>
      <c r="F51" s="4"/>
      <c r="G51" s="2"/>
    </row>
    <row r="52" spans="1:7" x14ac:dyDescent="0.15">
      <c r="A52" s="2"/>
      <c r="B52" s="6" t="str">
        <f t="shared" si="0"/>
        <v/>
      </c>
      <c r="C52" s="4"/>
      <c r="D52" s="2"/>
      <c r="E52" s="2"/>
      <c r="F52" s="4"/>
      <c r="G52" s="2"/>
    </row>
    <row r="53" spans="1:7" x14ac:dyDescent="0.15">
      <c r="A53" s="2"/>
      <c r="B53" s="6" t="str">
        <f t="shared" si="0"/>
        <v/>
      </c>
      <c r="C53" s="4"/>
      <c r="D53" s="2"/>
      <c r="E53" s="2"/>
      <c r="F53" s="4"/>
      <c r="G53" s="2"/>
    </row>
    <row r="54" spans="1:7" x14ac:dyDescent="0.15">
      <c r="A54" s="2"/>
      <c r="B54" s="6" t="str">
        <f t="shared" si="0"/>
        <v/>
      </c>
      <c r="C54" s="4"/>
      <c r="D54" s="2"/>
      <c r="E54" s="2"/>
      <c r="F54" s="4"/>
      <c r="G54" s="2"/>
    </row>
    <row r="55" spans="1:7" x14ac:dyDescent="0.15">
      <c r="A55" s="2"/>
      <c r="B55" s="6" t="str">
        <f t="shared" si="0"/>
        <v/>
      </c>
      <c r="C55" s="4"/>
      <c r="D55" s="2"/>
      <c r="E55" s="2"/>
      <c r="F55" s="4"/>
      <c r="G55" s="2"/>
    </row>
    <row r="56" spans="1:7" x14ac:dyDescent="0.15">
      <c r="A56" s="2"/>
      <c r="B56" s="6" t="str">
        <f t="shared" si="0"/>
        <v/>
      </c>
      <c r="C56" s="4"/>
      <c r="D56" s="2"/>
      <c r="E56" s="2"/>
      <c r="F56" s="4"/>
      <c r="G56" s="2"/>
    </row>
    <row r="57" spans="1:7" x14ac:dyDescent="0.15">
      <c r="A57" s="2"/>
      <c r="B57" s="6" t="str">
        <f t="shared" si="0"/>
        <v/>
      </c>
      <c r="C57" s="4"/>
      <c r="D57" s="2"/>
      <c r="E57" s="2"/>
      <c r="F57" s="4"/>
      <c r="G57" s="2"/>
    </row>
    <row r="58" spans="1:7" x14ac:dyDescent="0.15">
      <c r="A58" s="2"/>
      <c r="B58" s="6" t="str">
        <f t="shared" si="0"/>
        <v/>
      </c>
      <c r="C58" s="4"/>
      <c r="D58" s="2"/>
      <c r="E58" s="2"/>
      <c r="F58" s="4"/>
      <c r="G58" s="2"/>
    </row>
    <row r="59" spans="1:7" x14ac:dyDescent="0.15">
      <c r="A59" s="2"/>
      <c r="B59" s="6" t="str">
        <f t="shared" si="0"/>
        <v/>
      </c>
      <c r="C59" s="4"/>
      <c r="D59" s="2"/>
      <c r="E59" s="2"/>
      <c r="F59" s="4"/>
      <c r="G59" s="2"/>
    </row>
    <row r="60" spans="1:7" x14ac:dyDescent="0.15">
      <c r="A60" s="2"/>
      <c r="B60" s="6" t="str">
        <f t="shared" si="0"/>
        <v/>
      </c>
      <c r="C60" s="4"/>
      <c r="D60" s="2"/>
      <c r="E60" s="2"/>
      <c r="F60" s="4"/>
      <c r="G60" s="2"/>
    </row>
    <row r="61" spans="1:7" x14ac:dyDescent="0.15">
      <c r="A61" s="2"/>
      <c r="B61" s="6" t="str">
        <f t="shared" si="0"/>
        <v/>
      </c>
      <c r="C61" s="4"/>
      <c r="D61" s="2"/>
      <c r="E61" s="2"/>
      <c r="F61" s="4"/>
      <c r="G61" s="2"/>
    </row>
    <row r="62" spans="1:7" x14ac:dyDescent="0.15">
      <c r="A62" s="2"/>
      <c r="B62" s="6" t="str">
        <f t="shared" si="0"/>
        <v/>
      </c>
      <c r="C62" s="4"/>
      <c r="D62" s="2"/>
      <c r="E62" s="2"/>
      <c r="F62" s="4"/>
      <c r="G62" s="2"/>
    </row>
    <row r="63" spans="1:7" x14ac:dyDescent="0.15">
      <c r="A63" s="2"/>
      <c r="B63" s="6" t="str">
        <f t="shared" si="0"/>
        <v/>
      </c>
      <c r="C63" s="4"/>
      <c r="D63" s="2"/>
      <c r="E63" s="2"/>
      <c r="F63" s="4"/>
      <c r="G63" s="2"/>
    </row>
    <row r="64" spans="1:7" x14ac:dyDescent="0.15">
      <c r="A64" s="2"/>
      <c r="B64" s="6" t="str">
        <f t="shared" si="0"/>
        <v/>
      </c>
      <c r="C64" s="4"/>
      <c r="D64" s="2"/>
      <c r="E64" s="2"/>
      <c r="F64" s="4"/>
      <c r="G64" s="2"/>
    </row>
    <row r="65" spans="1:7" x14ac:dyDescent="0.15">
      <c r="A65" s="2"/>
      <c r="B65" s="6" t="str">
        <f t="shared" si="0"/>
        <v/>
      </c>
      <c r="C65" s="4"/>
      <c r="D65" s="2"/>
      <c r="E65" s="2"/>
      <c r="F65" s="4"/>
      <c r="G65" s="2"/>
    </row>
    <row r="66" spans="1:7" x14ac:dyDescent="0.15">
      <c r="A66" s="2"/>
      <c r="B66" s="6" t="str">
        <f t="shared" si="0"/>
        <v/>
      </c>
      <c r="C66" s="4"/>
      <c r="D66" s="2"/>
      <c r="E66" s="2"/>
      <c r="F66" s="4"/>
      <c r="G66" s="2"/>
    </row>
    <row r="67" spans="1:7" x14ac:dyDescent="0.15">
      <c r="A67" s="2"/>
      <c r="B67" s="6" t="str">
        <f t="shared" si="0"/>
        <v/>
      </c>
      <c r="C67" s="4"/>
      <c r="D67" s="2"/>
      <c r="E67" s="2"/>
      <c r="F67" s="4"/>
      <c r="G67" s="2"/>
    </row>
    <row r="68" spans="1:7" x14ac:dyDescent="0.15">
      <c r="A68" s="2"/>
      <c r="B68" s="6" t="str">
        <f t="shared" si="0"/>
        <v/>
      </c>
      <c r="C68" s="4"/>
      <c r="D68" s="2"/>
      <c r="E68" s="2"/>
      <c r="F68" s="4"/>
      <c r="G68" s="2"/>
    </row>
    <row r="69" spans="1:7" x14ac:dyDescent="0.15">
      <c r="A69" s="2"/>
      <c r="B69" s="6" t="str">
        <f t="shared" si="0"/>
        <v/>
      </c>
      <c r="C69" s="4"/>
      <c r="D69" s="2"/>
      <c r="E69" s="2"/>
      <c r="F69" s="4"/>
      <c r="G69" s="2"/>
    </row>
    <row r="70" spans="1:7" x14ac:dyDescent="0.15">
      <c r="A70" s="2"/>
      <c r="B70" s="6" t="str">
        <f t="shared" si="0"/>
        <v/>
      </c>
      <c r="C70" s="4"/>
      <c r="D70" s="2"/>
      <c r="E70" s="2"/>
      <c r="F70" s="4"/>
      <c r="G70" s="2"/>
    </row>
    <row r="71" spans="1:7" x14ac:dyDescent="0.15">
      <c r="A71" s="2"/>
      <c r="B71" s="6" t="str">
        <f t="shared" si="0"/>
        <v/>
      </c>
      <c r="C71" s="4"/>
      <c r="D71" s="2"/>
      <c r="E71" s="2"/>
      <c r="F71" s="4"/>
      <c r="G71" s="2"/>
    </row>
    <row r="72" spans="1:7" x14ac:dyDescent="0.15">
      <c r="A72" s="2"/>
      <c r="B72" s="6" t="str">
        <f t="shared" si="0"/>
        <v/>
      </c>
      <c r="C72" s="4"/>
      <c r="D72" s="2"/>
      <c r="E72" s="2"/>
      <c r="F72" s="4"/>
      <c r="G72" s="2"/>
    </row>
    <row r="73" spans="1:7" x14ac:dyDescent="0.15">
      <c r="A73" s="2"/>
      <c r="B73" s="6" t="str">
        <f t="shared" si="0"/>
        <v/>
      </c>
      <c r="C73" s="4"/>
      <c r="D73" s="2"/>
      <c r="E73" s="2"/>
      <c r="F73" s="4"/>
      <c r="G73" s="2"/>
    </row>
    <row r="74" spans="1:7" x14ac:dyDescent="0.15">
      <c r="A74" s="2"/>
      <c r="B74" s="6" t="str">
        <f t="shared" si="0"/>
        <v/>
      </c>
      <c r="C74" s="4"/>
      <c r="D74" s="2"/>
      <c r="E74" s="2"/>
      <c r="F74" s="4"/>
      <c r="G74" s="2"/>
    </row>
    <row r="75" spans="1:7" x14ac:dyDescent="0.15">
      <c r="A75" s="2"/>
      <c r="B75" s="6" t="str">
        <f t="shared" si="0"/>
        <v/>
      </c>
      <c r="C75" s="4"/>
      <c r="D75" s="2"/>
      <c r="E75" s="2"/>
      <c r="F75" s="4"/>
      <c r="G75" s="2"/>
    </row>
    <row r="76" spans="1:7" x14ac:dyDescent="0.15">
      <c r="A76" s="2"/>
      <c r="B76" s="6" t="str">
        <f t="shared" ref="B76:B139" si="1">C76&amp;F76</f>
        <v/>
      </c>
      <c r="C76" s="4"/>
      <c r="D76" s="2"/>
      <c r="E76" s="2"/>
      <c r="F76" s="4"/>
      <c r="G76" s="2"/>
    </row>
    <row r="77" spans="1:7" x14ac:dyDescent="0.15">
      <c r="A77" s="2"/>
      <c r="B77" s="6" t="str">
        <f t="shared" si="1"/>
        <v/>
      </c>
      <c r="C77" s="4"/>
      <c r="D77" s="2"/>
      <c r="E77" s="2"/>
      <c r="F77" s="4"/>
      <c r="G77" s="2"/>
    </row>
    <row r="78" spans="1:7" x14ac:dyDescent="0.15">
      <c r="A78" s="2"/>
      <c r="B78" s="6" t="str">
        <f t="shared" si="1"/>
        <v/>
      </c>
      <c r="C78" s="4"/>
      <c r="D78" s="2"/>
      <c r="E78" s="2"/>
      <c r="F78" s="4"/>
      <c r="G78" s="2"/>
    </row>
    <row r="79" spans="1:7" x14ac:dyDescent="0.15">
      <c r="A79" s="2"/>
      <c r="B79" s="6" t="str">
        <f t="shared" si="1"/>
        <v/>
      </c>
      <c r="C79" s="4"/>
      <c r="D79" s="2"/>
      <c r="E79" s="2"/>
      <c r="F79" s="4"/>
      <c r="G79" s="2"/>
    </row>
    <row r="80" spans="1:7" x14ac:dyDescent="0.15">
      <c r="A80" s="2"/>
      <c r="B80" s="6" t="str">
        <f t="shared" si="1"/>
        <v/>
      </c>
      <c r="C80" s="4"/>
      <c r="D80" s="2"/>
      <c r="E80" s="2"/>
      <c r="F80" s="4"/>
      <c r="G80" s="2"/>
    </row>
    <row r="81" spans="1:7" x14ac:dyDescent="0.15">
      <c r="A81" s="2"/>
      <c r="B81" s="6" t="str">
        <f t="shared" si="1"/>
        <v/>
      </c>
      <c r="C81" s="4"/>
      <c r="D81" s="2"/>
      <c r="E81" s="2"/>
      <c r="F81" s="4"/>
      <c r="G81" s="2"/>
    </row>
    <row r="82" spans="1:7" x14ac:dyDescent="0.15">
      <c r="A82" s="2"/>
      <c r="B82" s="6" t="str">
        <f t="shared" si="1"/>
        <v/>
      </c>
      <c r="C82" s="4"/>
      <c r="D82" s="2"/>
      <c r="E82" s="2"/>
      <c r="F82" s="4"/>
      <c r="G82" s="2"/>
    </row>
    <row r="83" spans="1:7" x14ac:dyDescent="0.15">
      <c r="A83" s="2"/>
      <c r="B83" s="6" t="str">
        <f t="shared" si="1"/>
        <v/>
      </c>
      <c r="C83" s="4"/>
      <c r="D83" s="2"/>
      <c r="E83" s="2"/>
      <c r="F83" s="4"/>
      <c r="G83" s="2"/>
    </row>
    <row r="84" spans="1:7" x14ac:dyDescent="0.15">
      <c r="A84" s="2"/>
      <c r="B84" s="6" t="str">
        <f t="shared" si="1"/>
        <v/>
      </c>
      <c r="C84" s="4"/>
      <c r="D84" s="2"/>
      <c r="E84" s="2"/>
      <c r="F84" s="4"/>
      <c r="G84" s="2"/>
    </row>
    <row r="85" spans="1:7" x14ac:dyDescent="0.15">
      <c r="A85" s="2"/>
      <c r="B85" s="6" t="str">
        <f t="shared" si="1"/>
        <v/>
      </c>
      <c r="C85" s="4"/>
      <c r="D85" s="2"/>
      <c r="E85" s="2"/>
      <c r="F85" s="4"/>
      <c r="G85" s="2"/>
    </row>
    <row r="86" spans="1:7" x14ac:dyDescent="0.15">
      <c r="A86" s="2"/>
      <c r="B86" s="6" t="str">
        <f t="shared" si="1"/>
        <v/>
      </c>
      <c r="C86" s="4"/>
      <c r="D86" s="2"/>
      <c r="E86" s="2"/>
      <c r="F86" s="4"/>
      <c r="G86" s="2"/>
    </row>
    <row r="87" spans="1:7" x14ac:dyDescent="0.15">
      <c r="A87" s="2"/>
      <c r="B87" s="6" t="str">
        <f t="shared" si="1"/>
        <v/>
      </c>
      <c r="C87" s="4"/>
      <c r="D87" s="2"/>
      <c r="E87" s="2"/>
      <c r="F87" s="4"/>
      <c r="G87" s="2"/>
    </row>
    <row r="88" spans="1:7" x14ac:dyDescent="0.15">
      <c r="A88" s="2"/>
      <c r="B88" s="6" t="str">
        <f t="shared" si="1"/>
        <v/>
      </c>
      <c r="C88" s="4"/>
      <c r="D88" s="2"/>
      <c r="E88" s="2"/>
      <c r="F88" s="4"/>
      <c r="G88" s="2"/>
    </row>
    <row r="89" spans="1:7" x14ac:dyDescent="0.15">
      <c r="A89" s="2"/>
      <c r="B89" s="6" t="str">
        <f t="shared" si="1"/>
        <v/>
      </c>
      <c r="C89" s="4"/>
      <c r="D89" s="2"/>
      <c r="E89" s="2"/>
      <c r="F89" s="4"/>
      <c r="G89" s="2"/>
    </row>
    <row r="90" spans="1:7" x14ac:dyDescent="0.15">
      <c r="A90" s="2"/>
      <c r="B90" s="6" t="str">
        <f t="shared" si="1"/>
        <v/>
      </c>
      <c r="C90" s="4"/>
      <c r="D90" s="2"/>
      <c r="E90" s="2"/>
      <c r="F90" s="4"/>
      <c r="G90" s="2"/>
    </row>
    <row r="91" spans="1:7" x14ac:dyDescent="0.15">
      <c r="A91" s="2"/>
      <c r="B91" s="6" t="str">
        <f t="shared" si="1"/>
        <v/>
      </c>
      <c r="C91" s="4"/>
      <c r="D91" s="2"/>
      <c r="E91" s="2"/>
      <c r="F91" s="4"/>
      <c r="G91" s="2"/>
    </row>
    <row r="92" spans="1:7" x14ac:dyDescent="0.15">
      <c r="A92" s="2"/>
      <c r="B92" s="6" t="str">
        <f t="shared" si="1"/>
        <v/>
      </c>
      <c r="C92" s="4"/>
      <c r="D92" s="2"/>
      <c r="E92" s="2"/>
      <c r="F92" s="4"/>
      <c r="G92" s="2"/>
    </row>
    <row r="93" spans="1:7" x14ac:dyDescent="0.15">
      <c r="A93" s="2"/>
      <c r="B93" s="6" t="str">
        <f t="shared" si="1"/>
        <v/>
      </c>
      <c r="C93" s="4"/>
      <c r="D93" s="2"/>
      <c r="E93" s="2"/>
      <c r="F93" s="4"/>
      <c r="G93" s="2"/>
    </row>
    <row r="94" spans="1:7" x14ac:dyDescent="0.15">
      <c r="A94" s="2"/>
      <c r="B94" s="6" t="str">
        <f t="shared" si="1"/>
        <v/>
      </c>
      <c r="C94" s="4"/>
      <c r="D94" s="2"/>
      <c r="E94" s="2"/>
      <c r="F94" s="4"/>
      <c r="G94" s="2"/>
    </row>
    <row r="95" spans="1:7" x14ac:dyDescent="0.15">
      <c r="A95" s="2"/>
      <c r="B95" s="6" t="str">
        <f t="shared" si="1"/>
        <v/>
      </c>
      <c r="C95" s="4"/>
      <c r="D95" s="2"/>
      <c r="E95" s="2"/>
      <c r="F95" s="4"/>
      <c r="G95" s="2"/>
    </row>
    <row r="96" spans="1:7" x14ac:dyDescent="0.15">
      <c r="A96" s="2"/>
      <c r="B96" s="6" t="str">
        <f t="shared" si="1"/>
        <v/>
      </c>
      <c r="C96" s="4"/>
      <c r="D96" s="2"/>
      <c r="E96" s="2"/>
      <c r="F96" s="4"/>
      <c r="G96" s="2"/>
    </row>
    <row r="97" spans="1:7" x14ac:dyDescent="0.15">
      <c r="A97" s="2"/>
      <c r="B97" s="6" t="str">
        <f t="shared" si="1"/>
        <v/>
      </c>
      <c r="C97" s="4"/>
      <c r="D97" s="2"/>
      <c r="E97" s="2"/>
      <c r="F97" s="4"/>
      <c r="G97" s="2"/>
    </row>
    <row r="98" spans="1:7" x14ac:dyDescent="0.15">
      <c r="A98" s="2"/>
      <c r="B98" s="6" t="str">
        <f t="shared" si="1"/>
        <v/>
      </c>
      <c r="C98" s="4"/>
      <c r="D98" s="2"/>
      <c r="E98" s="2"/>
      <c r="F98" s="4"/>
      <c r="G98" s="2"/>
    </row>
    <row r="99" spans="1:7" x14ac:dyDescent="0.15">
      <c r="A99" s="2"/>
      <c r="B99" s="6" t="str">
        <f t="shared" si="1"/>
        <v/>
      </c>
      <c r="C99" s="4"/>
      <c r="D99" s="2"/>
      <c r="E99" s="2"/>
      <c r="F99" s="4"/>
      <c r="G99" s="2"/>
    </row>
    <row r="100" spans="1:7" x14ac:dyDescent="0.15">
      <c r="A100" s="2"/>
      <c r="B100" s="6" t="str">
        <f t="shared" si="1"/>
        <v/>
      </c>
      <c r="C100" s="4"/>
      <c r="D100" s="2"/>
      <c r="E100" s="2"/>
      <c r="F100" s="4"/>
      <c r="G100" s="2"/>
    </row>
    <row r="101" spans="1:7" x14ac:dyDescent="0.15">
      <c r="A101" s="2"/>
      <c r="B101" s="6" t="str">
        <f t="shared" si="1"/>
        <v/>
      </c>
      <c r="C101" s="4"/>
      <c r="D101" s="2"/>
      <c r="E101" s="2"/>
      <c r="F101" s="4"/>
      <c r="G101" s="2"/>
    </row>
    <row r="102" spans="1:7" x14ac:dyDescent="0.15">
      <c r="A102" s="2"/>
      <c r="B102" s="6" t="str">
        <f t="shared" si="1"/>
        <v/>
      </c>
      <c r="C102" s="4"/>
      <c r="D102" s="2"/>
      <c r="E102" s="2"/>
      <c r="F102" s="4"/>
      <c r="G102" s="2"/>
    </row>
    <row r="103" spans="1:7" x14ac:dyDescent="0.15">
      <c r="A103" s="2"/>
      <c r="B103" s="6" t="str">
        <f t="shared" si="1"/>
        <v/>
      </c>
      <c r="C103" s="4"/>
      <c r="D103" s="2"/>
      <c r="E103" s="2"/>
      <c r="F103" s="4"/>
      <c r="G103" s="2"/>
    </row>
    <row r="104" spans="1:7" x14ac:dyDescent="0.15">
      <c r="A104" s="2"/>
      <c r="B104" s="6" t="str">
        <f t="shared" si="1"/>
        <v/>
      </c>
      <c r="C104" s="4"/>
      <c r="D104" s="2"/>
      <c r="E104" s="2"/>
      <c r="F104" s="4"/>
      <c r="G104" s="2"/>
    </row>
    <row r="105" spans="1:7" x14ac:dyDescent="0.15">
      <c r="A105" s="2"/>
      <c r="B105" s="6" t="str">
        <f t="shared" si="1"/>
        <v/>
      </c>
      <c r="C105" s="4"/>
      <c r="D105" s="2"/>
      <c r="E105" s="2"/>
      <c r="F105" s="4"/>
      <c r="G105" s="2"/>
    </row>
    <row r="106" spans="1:7" x14ac:dyDescent="0.15">
      <c r="A106" s="2"/>
      <c r="B106" s="6" t="str">
        <f t="shared" si="1"/>
        <v/>
      </c>
      <c r="C106" s="4"/>
      <c r="D106" s="2"/>
      <c r="E106" s="2"/>
      <c r="F106" s="4"/>
      <c r="G106" s="2"/>
    </row>
    <row r="107" spans="1:7" x14ac:dyDescent="0.15">
      <c r="A107" s="2"/>
      <c r="B107" s="6" t="str">
        <f t="shared" si="1"/>
        <v/>
      </c>
      <c r="C107" s="4"/>
      <c r="D107" s="2"/>
      <c r="E107" s="2"/>
      <c r="F107" s="4"/>
      <c r="G107" s="2"/>
    </row>
    <row r="108" spans="1:7" x14ac:dyDescent="0.15">
      <c r="A108" s="2"/>
      <c r="B108" s="6" t="str">
        <f t="shared" si="1"/>
        <v/>
      </c>
      <c r="C108" s="4"/>
      <c r="D108" s="2"/>
      <c r="E108" s="2"/>
      <c r="F108" s="4"/>
      <c r="G108" s="2"/>
    </row>
    <row r="109" spans="1:7" x14ac:dyDescent="0.15">
      <c r="A109" s="2"/>
      <c r="B109" s="6" t="str">
        <f t="shared" si="1"/>
        <v/>
      </c>
      <c r="C109" s="4"/>
      <c r="D109" s="2"/>
      <c r="E109" s="2"/>
      <c r="F109" s="4"/>
      <c r="G109" s="2"/>
    </row>
    <row r="110" spans="1:7" x14ac:dyDescent="0.15">
      <c r="A110" s="2"/>
      <c r="B110" s="6" t="str">
        <f t="shared" si="1"/>
        <v/>
      </c>
      <c r="C110" s="4"/>
      <c r="D110" s="2"/>
      <c r="E110" s="2"/>
      <c r="F110" s="4"/>
      <c r="G110" s="2"/>
    </row>
    <row r="111" spans="1:7" x14ac:dyDescent="0.15">
      <c r="A111" s="2"/>
      <c r="B111" s="6" t="str">
        <f t="shared" si="1"/>
        <v/>
      </c>
      <c r="C111" s="4"/>
      <c r="D111" s="2"/>
      <c r="E111" s="2"/>
      <c r="F111" s="4"/>
      <c r="G111" s="2"/>
    </row>
    <row r="112" spans="1:7" x14ac:dyDescent="0.15">
      <c r="A112" s="2"/>
      <c r="B112" s="6" t="str">
        <f t="shared" si="1"/>
        <v/>
      </c>
      <c r="C112" s="4"/>
      <c r="D112" s="2"/>
      <c r="E112" s="2"/>
      <c r="F112" s="4"/>
      <c r="G112" s="2"/>
    </row>
    <row r="113" spans="1:7" x14ac:dyDescent="0.15">
      <c r="A113" s="2"/>
      <c r="B113" s="6" t="str">
        <f t="shared" si="1"/>
        <v/>
      </c>
      <c r="C113" s="4"/>
      <c r="D113" s="2"/>
      <c r="E113" s="2"/>
      <c r="F113" s="4"/>
      <c r="G113" s="2"/>
    </row>
    <row r="114" spans="1:7" x14ac:dyDescent="0.15">
      <c r="A114" s="2"/>
      <c r="B114" s="6" t="str">
        <f t="shared" si="1"/>
        <v/>
      </c>
      <c r="C114" s="4"/>
      <c r="D114" s="2"/>
      <c r="E114" s="2"/>
      <c r="F114" s="4"/>
      <c r="G114" s="2"/>
    </row>
    <row r="115" spans="1:7" x14ac:dyDescent="0.15">
      <c r="A115" s="2"/>
      <c r="B115" s="6" t="str">
        <f t="shared" si="1"/>
        <v/>
      </c>
      <c r="C115" s="4"/>
      <c r="D115" s="2"/>
      <c r="E115" s="2"/>
      <c r="F115" s="4"/>
      <c r="G115" s="2"/>
    </row>
    <row r="116" spans="1:7" x14ac:dyDescent="0.15">
      <c r="A116" s="2"/>
      <c r="B116" s="6" t="str">
        <f t="shared" si="1"/>
        <v/>
      </c>
      <c r="C116" s="4"/>
      <c r="D116" s="2"/>
      <c r="E116" s="2"/>
      <c r="F116" s="4"/>
      <c r="G116" s="2"/>
    </row>
    <row r="117" spans="1:7" x14ac:dyDescent="0.15">
      <c r="A117" s="2"/>
      <c r="B117" s="6" t="str">
        <f t="shared" si="1"/>
        <v/>
      </c>
      <c r="C117" s="4"/>
      <c r="D117" s="2"/>
      <c r="E117" s="2"/>
      <c r="F117" s="4"/>
      <c r="G117" s="2"/>
    </row>
    <row r="118" spans="1:7" x14ac:dyDescent="0.15">
      <c r="A118" s="2"/>
      <c r="B118" s="6" t="str">
        <f t="shared" si="1"/>
        <v/>
      </c>
      <c r="C118" s="4"/>
      <c r="D118" s="2"/>
      <c r="E118" s="2"/>
      <c r="F118" s="4"/>
      <c r="G118" s="2"/>
    </row>
    <row r="119" spans="1:7" x14ac:dyDescent="0.15">
      <c r="A119" s="2"/>
      <c r="B119" s="6" t="str">
        <f t="shared" si="1"/>
        <v/>
      </c>
      <c r="C119" s="4"/>
      <c r="D119" s="2"/>
      <c r="E119" s="2"/>
      <c r="F119" s="4"/>
      <c r="G119" s="2"/>
    </row>
    <row r="120" spans="1:7" x14ac:dyDescent="0.15">
      <c r="A120" s="2"/>
      <c r="B120" s="6" t="str">
        <f t="shared" si="1"/>
        <v/>
      </c>
      <c r="C120" s="4"/>
      <c r="D120" s="2"/>
      <c r="E120" s="2"/>
      <c r="F120" s="4"/>
      <c r="G120" s="2"/>
    </row>
    <row r="121" spans="1:7" x14ac:dyDescent="0.15">
      <c r="A121" s="2"/>
      <c r="B121" s="6" t="str">
        <f t="shared" si="1"/>
        <v/>
      </c>
      <c r="C121" s="4"/>
      <c r="D121" s="2"/>
      <c r="E121" s="2"/>
      <c r="F121" s="4"/>
      <c r="G121" s="2"/>
    </row>
    <row r="122" spans="1:7" x14ac:dyDescent="0.15">
      <c r="A122" s="2"/>
      <c r="B122" s="6" t="str">
        <f t="shared" si="1"/>
        <v/>
      </c>
      <c r="C122" s="4"/>
      <c r="D122" s="2"/>
      <c r="E122" s="2"/>
      <c r="F122" s="4"/>
      <c r="G122" s="2"/>
    </row>
    <row r="123" spans="1:7" x14ac:dyDescent="0.15">
      <c r="A123" s="2"/>
      <c r="B123" s="6" t="str">
        <f t="shared" si="1"/>
        <v/>
      </c>
      <c r="C123" s="4"/>
      <c r="D123" s="2"/>
      <c r="E123" s="2"/>
      <c r="F123" s="4"/>
      <c r="G123" s="2"/>
    </row>
    <row r="124" spans="1:7" x14ac:dyDescent="0.15">
      <c r="A124" s="2"/>
      <c r="B124" s="6" t="str">
        <f t="shared" si="1"/>
        <v/>
      </c>
      <c r="C124" s="4"/>
      <c r="D124" s="2"/>
      <c r="E124" s="2"/>
      <c r="F124" s="4"/>
      <c r="G124" s="2"/>
    </row>
    <row r="125" spans="1:7" x14ac:dyDescent="0.15">
      <c r="A125" s="2"/>
      <c r="B125" s="6" t="str">
        <f t="shared" si="1"/>
        <v/>
      </c>
      <c r="C125" s="4"/>
      <c r="D125" s="2"/>
      <c r="E125" s="2"/>
      <c r="F125" s="4"/>
      <c r="G125" s="2"/>
    </row>
    <row r="126" spans="1:7" x14ac:dyDescent="0.15">
      <c r="A126" s="2"/>
      <c r="B126" s="6" t="str">
        <f t="shared" si="1"/>
        <v/>
      </c>
      <c r="C126" s="4"/>
      <c r="D126" s="2"/>
      <c r="E126" s="2"/>
      <c r="F126" s="4"/>
      <c r="G126" s="2"/>
    </row>
    <row r="127" spans="1:7" x14ac:dyDescent="0.15">
      <c r="A127" s="2"/>
      <c r="B127" s="6" t="str">
        <f t="shared" si="1"/>
        <v/>
      </c>
      <c r="C127" s="4"/>
      <c r="D127" s="2"/>
      <c r="E127" s="2"/>
      <c r="F127" s="4"/>
      <c r="G127" s="2"/>
    </row>
    <row r="128" spans="1:7" x14ac:dyDescent="0.15">
      <c r="A128" s="2"/>
      <c r="B128" s="6" t="str">
        <f t="shared" si="1"/>
        <v/>
      </c>
      <c r="C128" s="4"/>
      <c r="D128" s="2"/>
      <c r="E128" s="2"/>
      <c r="F128" s="4"/>
      <c r="G128" s="2"/>
    </row>
    <row r="129" spans="1:7" x14ac:dyDescent="0.15">
      <c r="A129" s="2"/>
      <c r="B129" s="6" t="str">
        <f t="shared" si="1"/>
        <v/>
      </c>
      <c r="C129" s="4"/>
      <c r="D129" s="2"/>
      <c r="E129" s="2"/>
      <c r="F129" s="4"/>
      <c r="G129" s="2"/>
    </row>
    <row r="130" spans="1:7" x14ac:dyDescent="0.15">
      <c r="A130" s="2"/>
      <c r="B130" s="6" t="str">
        <f t="shared" si="1"/>
        <v/>
      </c>
      <c r="C130" s="4"/>
      <c r="D130" s="2"/>
      <c r="E130" s="2"/>
      <c r="F130" s="4"/>
      <c r="G130" s="2"/>
    </row>
    <row r="131" spans="1:7" x14ac:dyDescent="0.15">
      <c r="A131" s="2"/>
      <c r="B131" s="6" t="str">
        <f t="shared" si="1"/>
        <v/>
      </c>
      <c r="C131" s="4"/>
      <c r="D131" s="2"/>
      <c r="E131" s="2"/>
      <c r="F131" s="4"/>
      <c r="G131" s="2"/>
    </row>
    <row r="132" spans="1:7" x14ac:dyDescent="0.15">
      <c r="A132" s="2"/>
      <c r="B132" s="6" t="str">
        <f t="shared" si="1"/>
        <v/>
      </c>
      <c r="C132" s="4"/>
      <c r="D132" s="2"/>
      <c r="E132" s="2"/>
      <c r="F132" s="4"/>
      <c r="G132" s="2"/>
    </row>
    <row r="133" spans="1:7" x14ac:dyDescent="0.15">
      <c r="A133" s="2"/>
      <c r="B133" s="6" t="str">
        <f t="shared" si="1"/>
        <v/>
      </c>
      <c r="C133" s="4"/>
      <c r="D133" s="2"/>
      <c r="E133" s="2"/>
      <c r="F133" s="4"/>
      <c r="G133" s="2"/>
    </row>
    <row r="134" spans="1:7" x14ac:dyDescent="0.15">
      <c r="A134" s="2"/>
      <c r="B134" s="6" t="str">
        <f t="shared" si="1"/>
        <v/>
      </c>
      <c r="C134" s="4"/>
      <c r="D134" s="2"/>
      <c r="E134" s="2"/>
      <c r="F134" s="4"/>
      <c r="G134" s="2"/>
    </row>
    <row r="135" spans="1:7" x14ac:dyDescent="0.15">
      <c r="A135" s="2"/>
      <c r="B135" s="6" t="str">
        <f t="shared" si="1"/>
        <v/>
      </c>
      <c r="C135" s="4"/>
      <c r="D135" s="2"/>
      <c r="E135" s="2"/>
      <c r="F135" s="4"/>
      <c r="G135" s="2"/>
    </row>
    <row r="136" spans="1:7" x14ac:dyDescent="0.15">
      <c r="A136" s="2"/>
      <c r="B136" s="6" t="str">
        <f t="shared" si="1"/>
        <v/>
      </c>
      <c r="C136" s="4"/>
      <c r="D136" s="2"/>
      <c r="E136" s="2"/>
      <c r="F136" s="4"/>
      <c r="G136" s="2"/>
    </row>
    <row r="137" spans="1:7" x14ac:dyDescent="0.15">
      <c r="A137" s="2"/>
      <c r="B137" s="6" t="str">
        <f t="shared" si="1"/>
        <v/>
      </c>
      <c r="C137" s="4"/>
      <c r="D137" s="2"/>
      <c r="E137" s="2"/>
      <c r="F137" s="4"/>
      <c r="G137" s="2"/>
    </row>
    <row r="138" spans="1:7" x14ac:dyDescent="0.15">
      <c r="A138" s="2"/>
      <c r="B138" s="6" t="str">
        <f t="shared" si="1"/>
        <v/>
      </c>
      <c r="C138" s="4"/>
      <c r="D138" s="2"/>
      <c r="E138" s="2"/>
      <c r="F138" s="4"/>
      <c r="G138" s="2"/>
    </row>
    <row r="139" spans="1:7" x14ac:dyDescent="0.15">
      <c r="A139" s="2"/>
      <c r="B139" s="6" t="str">
        <f t="shared" si="1"/>
        <v/>
      </c>
      <c r="C139" s="4"/>
      <c r="D139" s="2"/>
      <c r="E139" s="2"/>
      <c r="F139" s="4"/>
      <c r="G139" s="2"/>
    </row>
    <row r="140" spans="1:7" x14ac:dyDescent="0.15">
      <c r="A140" s="2"/>
      <c r="B140" s="6" t="str">
        <f t="shared" ref="B140:B161" si="2">C140&amp;F140</f>
        <v/>
      </c>
      <c r="C140" s="4"/>
      <c r="D140" s="2"/>
      <c r="E140" s="2"/>
      <c r="F140" s="4"/>
      <c r="G140" s="2"/>
    </row>
    <row r="141" spans="1:7" x14ac:dyDescent="0.15">
      <c r="A141" s="2"/>
      <c r="B141" s="6" t="str">
        <f t="shared" si="2"/>
        <v/>
      </c>
      <c r="C141" s="4"/>
      <c r="D141" s="2"/>
      <c r="E141" s="2"/>
      <c r="F141" s="4"/>
      <c r="G141" s="2"/>
    </row>
    <row r="142" spans="1:7" x14ac:dyDescent="0.15">
      <c r="A142" s="2"/>
      <c r="B142" s="6" t="str">
        <f t="shared" si="2"/>
        <v/>
      </c>
      <c r="C142" s="4"/>
      <c r="D142" s="2"/>
      <c r="E142" s="2"/>
      <c r="F142" s="4"/>
      <c r="G142" s="2"/>
    </row>
    <row r="143" spans="1:7" x14ac:dyDescent="0.15">
      <c r="A143" s="2"/>
      <c r="B143" s="6" t="str">
        <f t="shared" si="2"/>
        <v/>
      </c>
      <c r="C143" s="4"/>
      <c r="D143" s="2"/>
      <c r="E143" s="2"/>
      <c r="F143" s="4"/>
      <c r="G143" s="2"/>
    </row>
    <row r="144" spans="1:7" x14ac:dyDescent="0.15">
      <c r="A144" s="2"/>
      <c r="B144" s="6" t="str">
        <f t="shared" si="2"/>
        <v/>
      </c>
      <c r="C144" s="4"/>
      <c r="D144" s="2"/>
      <c r="E144" s="2"/>
      <c r="F144" s="4"/>
      <c r="G144" s="2"/>
    </row>
    <row r="145" spans="1:7" x14ac:dyDescent="0.15">
      <c r="A145" s="2"/>
      <c r="B145" s="6" t="str">
        <f t="shared" si="2"/>
        <v/>
      </c>
      <c r="C145" s="4"/>
      <c r="D145" s="2"/>
      <c r="E145" s="2"/>
      <c r="F145" s="4"/>
      <c r="G145" s="2"/>
    </row>
    <row r="146" spans="1:7" x14ac:dyDescent="0.15">
      <c r="A146" s="2"/>
      <c r="B146" s="6" t="str">
        <f t="shared" si="2"/>
        <v/>
      </c>
      <c r="C146" s="4"/>
      <c r="D146" s="2"/>
      <c r="E146" s="2"/>
      <c r="F146" s="4"/>
      <c r="G146" s="2"/>
    </row>
    <row r="147" spans="1:7" x14ac:dyDescent="0.15">
      <c r="A147" s="2"/>
      <c r="B147" s="6" t="str">
        <f t="shared" si="2"/>
        <v/>
      </c>
      <c r="C147" s="4"/>
      <c r="D147" s="2"/>
      <c r="E147" s="2"/>
      <c r="F147" s="4"/>
      <c r="G147" s="2"/>
    </row>
    <row r="148" spans="1:7" x14ac:dyDescent="0.15">
      <c r="A148" s="2"/>
      <c r="B148" s="6" t="str">
        <f t="shared" si="2"/>
        <v/>
      </c>
      <c r="C148" s="4"/>
      <c r="D148" s="2"/>
      <c r="E148" s="2"/>
      <c r="F148" s="4"/>
      <c r="G148" s="2"/>
    </row>
    <row r="149" spans="1:7" x14ac:dyDescent="0.15">
      <c r="A149" s="2"/>
      <c r="B149" s="6" t="str">
        <f t="shared" si="2"/>
        <v/>
      </c>
      <c r="C149" s="4"/>
      <c r="D149" s="2"/>
      <c r="E149" s="2"/>
      <c r="F149" s="4"/>
      <c r="G149" s="2"/>
    </row>
    <row r="150" spans="1:7" x14ac:dyDescent="0.15">
      <c r="A150" s="2"/>
      <c r="B150" s="6" t="str">
        <f t="shared" si="2"/>
        <v/>
      </c>
      <c r="C150" s="4"/>
      <c r="D150" s="2"/>
      <c r="E150" s="2"/>
      <c r="F150" s="4"/>
      <c r="G150" s="2"/>
    </row>
    <row r="151" spans="1:7" x14ac:dyDescent="0.15">
      <c r="A151" s="2"/>
      <c r="B151" s="6" t="str">
        <f t="shared" si="2"/>
        <v/>
      </c>
      <c r="C151" s="4"/>
      <c r="D151" s="2"/>
      <c r="E151" s="2"/>
      <c r="F151" s="4"/>
      <c r="G151" s="2"/>
    </row>
    <row r="152" spans="1:7" x14ac:dyDescent="0.15">
      <c r="A152" s="2"/>
      <c r="B152" s="6" t="str">
        <f t="shared" si="2"/>
        <v/>
      </c>
      <c r="C152" s="4"/>
      <c r="D152" s="2"/>
      <c r="E152" s="2"/>
      <c r="F152" s="4"/>
      <c r="G152" s="2"/>
    </row>
    <row r="153" spans="1:7" x14ac:dyDescent="0.15">
      <c r="A153" s="2"/>
      <c r="B153" s="6" t="str">
        <f t="shared" si="2"/>
        <v/>
      </c>
      <c r="C153" s="4"/>
      <c r="D153" s="2"/>
      <c r="E153" s="2"/>
      <c r="F153" s="4"/>
      <c r="G153" s="2"/>
    </row>
    <row r="154" spans="1:7" x14ac:dyDescent="0.15">
      <c r="A154" s="2"/>
      <c r="B154" s="6" t="str">
        <f t="shared" si="2"/>
        <v/>
      </c>
      <c r="C154" s="4"/>
      <c r="D154" s="2"/>
      <c r="E154" s="2"/>
      <c r="F154" s="4"/>
      <c r="G154" s="2"/>
    </row>
    <row r="155" spans="1:7" x14ac:dyDescent="0.15">
      <c r="A155" s="2"/>
      <c r="B155" s="6" t="str">
        <f t="shared" si="2"/>
        <v/>
      </c>
      <c r="C155" s="4"/>
      <c r="D155" s="2"/>
      <c r="E155" s="2"/>
      <c r="F155" s="4"/>
      <c r="G155" s="2"/>
    </row>
    <row r="156" spans="1:7" x14ac:dyDescent="0.15">
      <c r="A156" s="2"/>
      <c r="B156" s="6" t="str">
        <f t="shared" si="2"/>
        <v/>
      </c>
      <c r="C156" s="4"/>
      <c r="D156" s="2"/>
      <c r="E156" s="2"/>
      <c r="F156" s="4"/>
      <c r="G156" s="2"/>
    </row>
    <row r="157" spans="1:7" x14ac:dyDescent="0.15">
      <c r="A157" s="2"/>
      <c r="B157" s="6" t="str">
        <f t="shared" si="2"/>
        <v/>
      </c>
      <c r="C157" s="4"/>
      <c r="D157" s="2"/>
      <c r="E157" s="2"/>
      <c r="F157" s="4"/>
      <c r="G157" s="2"/>
    </row>
    <row r="158" spans="1:7" x14ac:dyDescent="0.15">
      <c r="A158" s="2"/>
      <c r="B158" s="6" t="str">
        <f t="shared" si="2"/>
        <v/>
      </c>
      <c r="C158" s="4"/>
      <c r="D158" s="2"/>
      <c r="E158" s="2"/>
      <c r="F158" s="4"/>
      <c r="G158" s="2"/>
    </row>
    <row r="159" spans="1:7" x14ac:dyDescent="0.15">
      <c r="A159" s="2"/>
      <c r="B159" s="6" t="str">
        <f t="shared" si="2"/>
        <v/>
      </c>
      <c r="C159" s="4"/>
      <c r="D159" s="2"/>
      <c r="E159" s="2"/>
      <c r="F159" s="4"/>
      <c r="G159" s="2"/>
    </row>
    <row r="160" spans="1:7" x14ac:dyDescent="0.15">
      <c r="A160" s="2"/>
      <c r="B160" s="6" t="str">
        <f t="shared" si="2"/>
        <v/>
      </c>
      <c r="C160" s="4"/>
      <c r="D160" s="2"/>
      <c r="E160" s="2"/>
      <c r="F160" s="4"/>
      <c r="G160" s="2"/>
    </row>
    <row r="161" spans="1:7" x14ac:dyDescent="0.15">
      <c r="A161" s="2"/>
      <c r="B161" s="6" t="str">
        <f t="shared" si="2"/>
        <v/>
      </c>
      <c r="C161" s="4"/>
      <c r="D161" s="2"/>
      <c r="E161" s="2"/>
      <c r="F161" s="4"/>
      <c r="G161" s="2"/>
    </row>
  </sheetData>
  <phoneticPr fontId="2"/>
  <pageMargins left="0.78700000000000003" right="0.78700000000000003" top="0.98399999999999999" bottom="0.98399999999999999" header="0.51200000000000001" footer="0.51200000000000001"/>
  <pageSetup paperSize="9" scale="86" orientation="portrait" r:id="rId1"/>
  <headerFooter alignWithMargins="0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B12"/>
  <sheetViews>
    <sheetView zoomScale="85" zoomScaleNormal="85" workbookViewId="0"/>
  </sheetViews>
  <sheetFormatPr defaultRowHeight="13.2" x14ac:dyDescent="0.2"/>
  <cols>
    <col min="1" max="1" width="34.44140625" customWidth="1"/>
  </cols>
  <sheetData>
    <row r="1" spans="1:2" x14ac:dyDescent="0.2">
      <c r="A1" s="1" t="s">
        <v>60</v>
      </c>
      <c r="B1" s="1"/>
    </row>
    <row r="2" spans="1:2" ht="24" x14ac:dyDescent="0.2">
      <c r="A2" s="55" t="s">
        <v>74</v>
      </c>
      <c r="B2" s="51" t="s">
        <v>61</v>
      </c>
    </row>
    <row r="3" spans="1:2" x14ac:dyDescent="0.2">
      <c r="A3" s="46"/>
      <c r="B3" s="46">
        <v>1</v>
      </c>
    </row>
    <row r="4" spans="1:2" x14ac:dyDescent="0.2">
      <c r="A4" s="47" t="s">
        <v>62</v>
      </c>
      <c r="B4" s="47">
        <v>1</v>
      </c>
    </row>
    <row r="5" spans="1:2" x14ac:dyDescent="0.2">
      <c r="A5" s="47" t="s">
        <v>63</v>
      </c>
      <c r="B5" s="47">
        <v>1</v>
      </c>
    </row>
    <row r="6" spans="1:2" x14ac:dyDescent="0.2">
      <c r="A6" s="47" t="s">
        <v>64</v>
      </c>
      <c r="B6" s="47">
        <v>1</v>
      </c>
    </row>
    <row r="7" spans="1:2" x14ac:dyDescent="0.2">
      <c r="A7" s="47"/>
      <c r="B7" s="47"/>
    </row>
    <row r="8" spans="1:2" x14ac:dyDescent="0.2">
      <c r="A8" s="47" t="s">
        <v>65</v>
      </c>
      <c r="B8" s="47">
        <v>1</v>
      </c>
    </row>
    <row r="9" spans="1:2" x14ac:dyDescent="0.2">
      <c r="A9" s="47" t="s">
        <v>128</v>
      </c>
      <c r="B9" s="47">
        <v>1</v>
      </c>
    </row>
    <row r="10" spans="1:2" x14ac:dyDescent="0.2">
      <c r="A10" s="47" t="s">
        <v>127</v>
      </c>
      <c r="B10" s="47">
        <v>1</v>
      </c>
    </row>
    <row r="11" spans="1:2" x14ac:dyDescent="0.2">
      <c r="A11" s="47"/>
      <c r="B11" s="47"/>
    </row>
    <row r="12" spans="1:2" x14ac:dyDescent="0.2">
      <c r="A12" s="47" t="s">
        <v>228</v>
      </c>
      <c r="B12" s="47">
        <v>1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F47"/>
  <sheetViews>
    <sheetView zoomScale="85" zoomScaleNormal="85" workbookViewId="0"/>
  </sheetViews>
  <sheetFormatPr defaultColWidth="9.109375" defaultRowHeight="12" x14ac:dyDescent="0.15"/>
  <cols>
    <col min="1" max="1" width="14.5546875" style="1" bestFit="1" customWidth="1"/>
    <col min="2" max="2" width="19.77734375" style="1" bestFit="1" customWidth="1"/>
    <col min="3" max="3" width="9.44140625" style="1" bestFit="1" customWidth="1"/>
    <col min="4" max="5" width="10.5546875" style="49" bestFit="1" customWidth="1"/>
    <col min="6" max="6" width="32.77734375" style="1" customWidth="1"/>
    <col min="7" max="16384" width="9.109375" style="1"/>
  </cols>
  <sheetData>
    <row r="1" spans="1:6" x14ac:dyDescent="0.15">
      <c r="A1" s="1" t="s">
        <v>66</v>
      </c>
      <c r="C1" s="1" t="s">
        <v>77</v>
      </c>
    </row>
    <row r="2" spans="1:6" ht="24" x14ac:dyDescent="0.15">
      <c r="A2" s="52" t="s">
        <v>67</v>
      </c>
      <c r="B2" s="51" t="s">
        <v>68</v>
      </c>
      <c r="C2" s="51" t="s">
        <v>61</v>
      </c>
      <c r="D2" s="53" t="s">
        <v>69</v>
      </c>
      <c r="E2" s="53" t="s">
        <v>70</v>
      </c>
      <c r="F2" s="54" t="s">
        <v>73</v>
      </c>
    </row>
    <row r="3" spans="1:6" x14ac:dyDescent="0.15">
      <c r="A3" s="46"/>
      <c r="B3" s="46"/>
      <c r="C3" s="46"/>
      <c r="D3" s="50"/>
      <c r="E3" s="50"/>
      <c r="F3" s="46" t="str">
        <f>IF(A3&lt;&gt;"",CONCATENATE(A3,"：",B3),"")</f>
        <v/>
      </c>
    </row>
    <row r="4" spans="1:6" x14ac:dyDescent="0.15">
      <c r="A4" s="77" t="s">
        <v>152</v>
      </c>
      <c r="B4" s="77" t="s">
        <v>153</v>
      </c>
      <c r="C4" s="77"/>
      <c r="D4" s="78"/>
      <c r="E4" s="78"/>
      <c r="F4" s="47" t="str">
        <f t="shared" ref="F4" si="0">IF(A4&lt;&gt;"",CONCATENATE(A4,"：",B4),"")</f>
        <v>SD0001：SD部門経費</v>
      </c>
    </row>
    <row r="5" spans="1:6" x14ac:dyDescent="0.15">
      <c r="A5" s="77" t="s">
        <v>150</v>
      </c>
      <c r="B5" s="77" t="s">
        <v>151</v>
      </c>
      <c r="C5" s="77"/>
      <c r="D5" s="78"/>
      <c r="E5" s="78"/>
      <c r="F5" s="47" t="str">
        <f t="shared" ref="F5:F47" si="1">IF(A5&lt;&gt;"",CONCATENATE(A5,"：",B5),"")</f>
        <v>PF0001：PF部門経費</v>
      </c>
    </row>
    <row r="6" spans="1:6" x14ac:dyDescent="0.15">
      <c r="A6" s="77" t="s">
        <v>148</v>
      </c>
      <c r="B6" s="77" t="s">
        <v>149</v>
      </c>
      <c r="C6" s="77"/>
      <c r="D6" s="78"/>
      <c r="E6" s="78"/>
      <c r="F6" s="47" t="str">
        <f>IF(A6&lt;&gt;"",CONCATENATE(A6,"：",B6),"")</f>
        <v>CSE001：CSE部門経費</v>
      </c>
    </row>
    <row r="7" spans="1:6" x14ac:dyDescent="0.15">
      <c r="A7" s="77" t="s">
        <v>155</v>
      </c>
      <c r="B7" s="77" t="s">
        <v>156</v>
      </c>
      <c r="C7" s="77"/>
      <c r="D7" s="78"/>
      <c r="E7" s="78"/>
      <c r="F7" s="47" t="str">
        <f t="shared" si="1"/>
        <v>KH0001：開発本部部門経費</v>
      </c>
    </row>
    <row r="8" spans="1:6" x14ac:dyDescent="0.15">
      <c r="A8" s="77"/>
      <c r="B8" s="77"/>
      <c r="C8" s="77"/>
      <c r="D8" s="78"/>
      <c r="E8" s="78"/>
      <c r="F8" s="47" t="str">
        <f t="shared" si="1"/>
        <v/>
      </c>
    </row>
    <row r="9" spans="1:6" x14ac:dyDescent="0.15">
      <c r="A9" s="77" t="s">
        <v>157</v>
      </c>
      <c r="B9" s="77" t="s">
        <v>158</v>
      </c>
      <c r="C9" s="77"/>
      <c r="D9" s="78"/>
      <c r="E9" s="78"/>
      <c r="F9" s="47" t="str">
        <f t="shared" si="1"/>
        <v>BL0010：先端技術開発室</v>
      </c>
    </row>
    <row r="10" spans="1:6" x14ac:dyDescent="0.15">
      <c r="A10" s="77" t="s">
        <v>159</v>
      </c>
      <c r="B10" s="77" t="s">
        <v>160</v>
      </c>
      <c r="C10" s="77"/>
      <c r="D10" s="78"/>
      <c r="E10" s="78"/>
      <c r="F10" s="47" t="str">
        <f t="shared" si="1"/>
        <v>BL0021：第一開発部</v>
      </c>
    </row>
    <row r="11" spans="1:6" x14ac:dyDescent="0.15">
      <c r="A11" s="77" t="s">
        <v>161</v>
      </c>
      <c r="B11" s="77" t="s">
        <v>162</v>
      </c>
      <c r="C11" s="77"/>
      <c r="D11" s="78"/>
      <c r="E11" s="78"/>
      <c r="F11" s="47" t="str">
        <f t="shared" si="1"/>
        <v>BL0022：第二開発部</v>
      </c>
    </row>
    <row r="12" spans="1:6" x14ac:dyDescent="0.15">
      <c r="A12" s="77" t="s">
        <v>163</v>
      </c>
      <c r="B12" s="77" t="s">
        <v>164</v>
      </c>
      <c r="C12" s="77"/>
      <c r="D12" s="78"/>
      <c r="E12" s="78"/>
      <c r="F12" s="47" t="str">
        <f t="shared" si="1"/>
        <v>BL0023：第三開発部</v>
      </c>
    </row>
    <row r="13" spans="1:6" x14ac:dyDescent="0.15">
      <c r="A13" s="77" t="s">
        <v>165</v>
      </c>
      <c r="B13" s="77" t="s">
        <v>166</v>
      </c>
      <c r="C13" s="77"/>
      <c r="D13" s="78"/>
      <c r="E13" s="78"/>
      <c r="F13" s="47" t="str">
        <f t="shared" si="1"/>
        <v>BL0030：情報システム部</v>
      </c>
    </row>
    <row r="14" spans="1:6" x14ac:dyDescent="0.15">
      <c r="A14" s="77" t="s">
        <v>167</v>
      </c>
      <c r="B14" s="77" t="s">
        <v>168</v>
      </c>
      <c r="C14" s="77"/>
      <c r="D14" s="78"/>
      <c r="E14" s="78"/>
      <c r="F14" s="47" t="str">
        <f t="shared" si="1"/>
        <v>SB0011：IoT(龍海)</v>
      </c>
    </row>
    <row r="15" spans="1:6" x14ac:dyDescent="0.15">
      <c r="A15" s="77" t="s">
        <v>169</v>
      </c>
      <c r="B15" s="77" t="s">
        <v>170</v>
      </c>
      <c r="C15" s="77"/>
      <c r="D15" s="78"/>
      <c r="E15" s="78"/>
      <c r="F15" s="47" t="str">
        <f t="shared" si="1"/>
        <v>SB0012：IoT(張慈勇)</v>
      </c>
    </row>
    <row r="16" spans="1:6" x14ac:dyDescent="0.15">
      <c r="A16" s="77" t="s">
        <v>171</v>
      </c>
      <c r="B16" s="77" t="s">
        <v>172</v>
      </c>
      <c r="C16" s="77"/>
      <c r="D16" s="78"/>
      <c r="E16" s="78"/>
      <c r="F16" s="47" t="str">
        <f t="shared" si="1"/>
        <v>SB0021：ダンプネット企画ph</v>
      </c>
    </row>
    <row r="17" spans="1:6" x14ac:dyDescent="0.15">
      <c r="A17" s="77" t="s">
        <v>173</v>
      </c>
      <c r="B17" s="77" t="s">
        <v>174</v>
      </c>
      <c r="C17" s="77"/>
      <c r="D17" s="78"/>
      <c r="E17" s="78"/>
      <c r="F17" s="47" t="str">
        <f t="shared" si="1"/>
        <v>SB0022：ダンプネット開発</v>
      </c>
    </row>
    <row r="18" spans="1:6" x14ac:dyDescent="0.15">
      <c r="A18" s="77" t="s">
        <v>175</v>
      </c>
      <c r="B18" s="77" t="s">
        <v>176</v>
      </c>
      <c r="C18" s="77"/>
      <c r="D18" s="78"/>
      <c r="E18" s="78"/>
      <c r="F18" s="47" t="str">
        <f t="shared" si="1"/>
        <v>SB0030：プラメBiz開発</v>
      </c>
    </row>
    <row r="19" spans="1:6" x14ac:dyDescent="0.15">
      <c r="A19" s="77" t="s">
        <v>177</v>
      </c>
      <c r="B19" s="77" t="s">
        <v>178</v>
      </c>
      <c r="C19" s="77"/>
      <c r="D19" s="78"/>
      <c r="E19" s="78"/>
      <c r="F19" s="47" t="str">
        <f t="shared" si="1"/>
        <v>SB0041：データプラットフォーム開発</v>
      </c>
    </row>
    <row r="20" spans="1:6" x14ac:dyDescent="0.15">
      <c r="A20" s="77" t="s">
        <v>179</v>
      </c>
      <c r="B20" s="77" t="s">
        <v>180</v>
      </c>
      <c r="C20" s="77"/>
      <c r="D20" s="78"/>
      <c r="E20" s="78"/>
      <c r="F20" s="47" t="str">
        <f t="shared" si="1"/>
        <v>SB0042：データプラットフォーム開発(南京)</v>
      </c>
    </row>
    <row r="21" spans="1:6" x14ac:dyDescent="0.15">
      <c r="A21" s="77" t="s">
        <v>181</v>
      </c>
      <c r="B21" s="77" t="s">
        <v>182</v>
      </c>
      <c r="C21" s="77"/>
      <c r="D21" s="78"/>
      <c r="E21" s="78"/>
      <c r="F21" s="47" t="str">
        <f t="shared" si="1"/>
        <v>SB0050：どこかなGPSサーバ開発</v>
      </c>
    </row>
    <row r="22" spans="1:6" x14ac:dyDescent="0.15">
      <c r="A22" s="77" t="s">
        <v>183</v>
      </c>
      <c r="B22" s="77" t="s">
        <v>184</v>
      </c>
      <c r="C22" s="77"/>
      <c r="D22" s="78"/>
      <c r="E22" s="78"/>
      <c r="F22" s="47" t="str">
        <f t="shared" si="1"/>
        <v>SB0061：API-Suite維持</v>
      </c>
    </row>
    <row r="23" spans="1:6" x14ac:dyDescent="0.15">
      <c r="A23" s="77" t="s">
        <v>185</v>
      </c>
      <c r="B23" s="77" t="s">
        <v>186</v>
      </c>
      <c r="C23" s="77"/>
      <c r="D23" s="78"/>
      <c r="E23" s="78"/>
      <c r="F23" s="47" t="str">
        <f t="shared" si="1"/>
        <v>SB0062：API-SuiteマルチPF追加</v>
      </c>
    </row>
    <row r="24" spans="1:6" x14ac:dyDescent="0.15">
      <c r="A24" s="77" t="s">
        <v>187</v>
      </c>
      <c r="B24" s="77" t="s">
        <v>188</v>
      </c>
      <c r="C24" s="77"/>
      <c r="D24" s="78"/>
      <c r="E24" s="78"/>
      <c r="F24" s="47" t="str">
        <f t="shared" si="1"/>
        <v>SB0071：アシストスマホ</v>
      </c>
    </row>
    <row r="25" spans="1:6" x14ac:dyDescent="0.15">
      <c r="A25" s="77" t="s">
        <v>189</v>
      </c>
      <c r="B25" s="77" t="s">
        <v>190</v>
      </c>
      <c r="C25" s="77"/>
      <c r="D25" s="78"/>
      <c r="E25" s="78"/>
      <c r="F25" s="47" t="str">
        <f t="shared" si="1"/>
        <v>SB0072：アシストスマホ追加(下期)</v>
      </c>
    </row>
    <row r="26" spans="1:6" x14ac:dyDescent="0.15">
      <c r="A26" s="77" t="s">
        <v>191</v>
      </c>
      <c r="B26" s="77" t="s">
        <v>192</v>
      </c>
      <c r="C26" s="77"/>
      <c r="D26" s="78"/>
      <c r="E26" s="78"/>
      <c r="F26" s="47" t="str">
        <f t="shared" si="1"/>
        <v>SB0081：EricssonGUI保守</v>
      </c>
    </row>
    <row r="27" spans="1:6" x14ac:dyDescent="0.15">
      <c r="A27" s="77" t="s">
        <v>193</v>
      </c>
      <c r="B27" s="77" t="s">
        <v>194</v>
      </c>
      <c r="C27" s="77"/>
      <c r="D27" s="78"/>
      <c r="E27" s="78"/>
      <c r="F27" s="47" t="str">
        <f t="shared" si="1"/>
        <v>SB0082：EricssonGUI_Repla</v>
      </c>
    </row>
    <row r="28" spans="1:6" x14ac:dyDescent="0.15">
      <c r="A28" s="77" t="s">
        <v>195</v>
      </c>
      <c r="B28" s="77" t="s">
        <v>196</v>
      </c>
      <c r="C28" s="77"/>
      <c r="D28" s="78"/>
      <c r="E28" s="78"/>
      <c r="F28" s="47" t="str">
        <f t="shared" si="1"/>
        <v>SB0083：Consolidator</v>
      </c>
    </row>
    <row r="29" spans="1:6" x14ac:dyDescent="0.15">
      <c r="A29" s="77" t="s">
        <v>197</v>
      </c>
      <c r="B29" s="77" t="s">
        <v>198</v>
      </c>
      <c r="C29" s="77"/>
      <c r="D29" s="78"/>
      <c r="E29" s="78"/>
      <c r="F29" s="47" t="str">
        <f t="shared" si="1"/>
        <v>SB0084：EricssonGUIオンプレ</v>
      </c>
    </row>
    <row r="30" spans="1:6" x14ac:dyDescent="0.15">
      <c r="A30" s="77" t="s">
        <v>199</v>
      </c>
      <c r="B30" s="77" t="s">
        <v>200</v>
      </c>
      <c r="C30" s="77"/>
      <c r="D30" s="78"/>
      <c r="E30" s="78"/>
      <c r="F30" s="47" t="str">
        <f t="shared" si="1"/>
        <v>SB0090：Apigee GKEバージョンアップ</v>
      </c>
    </row>
    <row r="31" spans="1:6" x14ac:dyDescent="0.15">
      <c r="A31" s="77" t="s">
        <v>201</v>
      </c>
      <c r="B31" s="77" t="s">
        <v>202</v>
      </c>
      <c r="C31" s="77"/>
      <c r="D31" s="78"/>
      <c r="E31" s="78"/>
      <c r="F31" s="47" t="str">
        <f t="shared" si="1"/>
        <v>NC0010：NTTCom（アプリ保守）</v>
      </c>
    </row>
    <row r="32" spans="1:6" x14ac:dyDescent="0.15">
      <c r="A32" s="77" t="s">
        <v>203</v>
      </c>
      <c r="B32" s="77" t="s">
        <v>204</v>
      </c>
      <c r="C32" s="77"/>
      <c r="D32" s="78"/>
      <c r="E32" s="78"/>
      <c r="F32" s="47" t="str">
        <f t="shared" si="1"/>
        <v>NC0020：NTTCom（開発)</v>
      </c>
    </row>
    <row r="33" spans="1:6" x14ac:dyDescent="0.15">
      <c r="A33" s="77" t="s">
        <v>205</v>
      </c>
      <c r="B33" s="77" t="s">
        <v>206</v>
      </c>
      <c r="C33" s="77"/>
      <c r="D33" s="78"/>
      <c r="E33" s="78"/>
      <c r="F33" s="47" t="str">
        <f t="shared" si="1"/>
        <v>CW0010：NTTコムウェア</v>
      </c>
    </row>
    <row r="34" spans="1:6" x14ac:dyDescent="0.15">
      <c r="A34" s="77" t="s">
        <v>207</v>
      </c>
      <c r="B34" s="77" t="s">
        <v>208</v>
      </c>
      <c r="C34" s="77"/>
      <c r="D34" s="78"/>
      <c r="E34" s="78"/>
      <c r="F34" s="47" t="str">
        <f t="shared" si="1"/>
        <v>DC0001：NTTドコモ(未記入)</v>
      </c>
    </row>
    <row r="35" spans="1:6" x14ac:dyDescent="0.15">
      <c r="A35" s="77" t="s">
        <v>209</v>
      </c>
      <c r="B35" s="77" t="s">
        <v>210</v>
      </c>
      <c r="C35" s="77"/>
      <c r="D35" s="78"/>
      <c r="E35" s="78"/>
      <c r="F35" s="47" t="str">
        <f t="shared" si="1"/>
        <v>KD0010：KDDI（加治佐）</v>
      </c>
    </row>
    <row r="36" spans="1:6" x14ac:dyDescent="0.15">
      <c r="A36" s="77" t="s">
        <v>211</v>
      </c>
      <c r="B36" s="77" t="s">
        <v>212</v>
      </c>
      <c r="C36" s="77"/>
      <c r="D36" s="78"/>
      <c r="E36" s="78"/>
      <c r="F36" s="47" t="str">
        <f t="shared" si="1"/>
        <v>KD0020：KDDI（裏隠居)</v>
      </c>
    </row>
    <row r="37" spans="1:6" x14ac:dyDescent="0.15">
      <c r="A37" s="77" t="s">
        <v>213</v>
      </c>
      <c r="B37" s="77" t="s">
        <v>214</v>
      </c>
      <c r="C37" s="77"/>
      <c r="D37" s="78"/>
      <c r="E37" s="78"/>
      <c r="F37" s="47" t="str">
        <f t="shared" si="1"/>
        <v>OY0010：応用</v>
      </c>
    </row>
    <row r="38" spans="1:6" x14ac:dyDescent="0.15">
      <c r="A38" s="77" t="s">
        <v>215</v>
      </c>
      <c r="B38" s="77" t="s">
        <v>216</v>
      </c>
      <c r="C38" s="77"/>
      <c r="D38" s="78"/>
      <c r="E38" s="78"/>
      <c r="F38" s="47" t="str">
        <f t="shared" si="1"/>
        <v>JM0010：JEMS</v>
      </c>
    </row>
    <row r="39" spans="1:6" x14ac:dyDescent="0.15">
      <c r="A39" s="77" t="s">
        <v>154</v>
      </c>
      <c r="B39" s="77" t="s">
        <v>217</v>
      </c>
      <c r="C39" s="77"/>
      <c r="D39" s="78"/>
      <c r="E39" s="78"/>
      <c r="F39" s="47" t="str">
        <f t="shared" si="1"/>
        <v>SS0001：東京堂</v>
      </c>
    </row>
    <row r="40" spans="1:6" x14ac:dyDescent="0.15">
      <c r="A40" s="77" t="s">
        <v>218</v>
      </c>
      <c r="B40" s="77" t="s">
        <v>219</v>
      </c>
      <c r="C40" s="77"/>
      <c r="D40" s="78"/>
      <c r="E40" s="78"/>
      <c r="F40" s="47" t="str">
        <f t="shared" si="1"/>
        <v>SS0002：中央物産</v>
      </c>
    </row>
    <row r="41" spans="1:6" x14ac:dyDescent="0.15">
      <c r="A41" s="77" t="s">
        <v>220</v>
      </c>
      <c r="B41" s="77" t="s">
        <v>221</v>
      </c>
      <c r="C41" s="77"/>
      <c r="D41" s="78"/>
      <c r="E41" s="78"/>
      <c r="F41" s="47" t="str">
        <f t="shared" si="1"/>
        <v>SS0003：デジマース</v>
      </c>
    </row>
    <row r="42" spans="1:6" x14ac:dyDescent="0.15">
      <c r="A42" s="77" t="s">
        <v>222</v>
      </c>
      <c r="B42" s="77" t="s">
        <v>223</v>
      </c>
      <c r="C42" s="77"/>
      <c r="D42" s="78"/>
      <c r="E42" s="78"/>
      <c r="F42" s="47" t="str">
        <f t="shared" si="1"/>
        <v>SS0004：BL_反社チェックAPI</v>
      </c>
    </row>
    <row r="43" spans="1:6" x14ac:dyDescent="0.15">
      <c r="A43" s="77" t="s">
        <v>224</v>
      </c>
      <c r="B43" s="77" t="s">
        <v>225</v>
      </c>
      <c r="C43" s="77"/>
      <c r="D43" s="78"/>
      <c r="E43" s="78"/>
      <c r="F43" s="47" t="str">
        <f t="shared" si="1"/>
        <v>SS0005：インフォート</v>
      </c>
    </row>
    <row r="44" spans="1:6" x14ac:dyDescent="0.15">
      <c r="A44" s="77"/>
      <c r="B44" s="77"/>
      <c r="C44" s="77"/>
      <c r="D44" s="78"/>
      <c r="E44" s="78"/>
      <c r="F44" s="47" t="str">
        <f t="shared" si="1"/>
        <v/>
      </c>
    </row>
    <row r="45" spans="1:6" x14ac:dyDescent="0.15">
      <c r="A45" s="47" t="s">
        <v>226</v>
      </c>
      <c r="B45" s="47" t="s">
        <v>72</v>
      </c>
      <c r="C45" s="77"/>
      <c r="D45" s="78"/>
      <c r="E45" s="78"/>
      <c r="F45" s="47" t="str">
        <f t="shared" si="1"/>
        <v>KN0001：管理部所管経費</v>
      </c>
    </row>
    <row r="46" spans="1:6" x14ac:dyDescent="0.15">
      <c r="A46" s="77"/>
      <c r="B46" s="77"/>
      <c r="C46" s="77"/>
      <c r="D46" s="78"/>
      <c r="E46" s="78"/>
      <c r="F46" s="47" t="str">
        <f t="shared" si="1"/>
        <v/>
      </c>
    </row>
    <row r="47" spans="1:6" x14ac:dyDescent="0.15">
      <c r="A47" s="48" t="s">
        <v>227</v>
      </c>
      <c r="B47" s="48" t="s">
        <v>71</v>
      </c>
      <c r="C47" s="77"/>
      <c r="D47" s="78"/>
      <c r="E47" s="78"/>
      <c r="F47" s="47" t="str">
        <f t="shared" si="1"/>
        <v>AO0001：青戸寮関連</v>
      </c>
    </row>
  </sheetData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経費（個人）精算書</vt:lpstr>
      <vt:lpstr>記入方法</vt:lpstr>
      <vt:lpstr>用途項目の選び方</vt:lpstr>
      <vt:lpstr>集計シート</vt:lpstr>
      <vt:lpstr>科目</vt:lpstr>
      <vt:lpstr>部門</vt:lpstr>
      <vt:lpstr>プロジェクトコード</vt:lpstr>
      <vt:lpstr>科目!Print_Area</vt:lpstr>
      <vt:lpstr>記入方法!Print_Area</vt:lpstr>
      <vt:lpstr>'経費（個人）精算書'!Print_Area</vt:lpstr>
      <vt:lpstr>プロジェクトコードと名称</vt:lpstr>
      <vt:lpstr>科目一覧</vt:lpstr>
      <vt:lpstr>科目一覧2</vt:lpstr>
      <vt:lpstr>科目摘要</vt:lpstr>
      <vt:lpstr>詳細</vt:lpstr>
      <vt:lpstr>摘要</vt:lpstr>
      <vt:lpstr>部門</vt:lpstr>
    </vt:vector>
  </TitlesOfParts>
  <Company>サン・ジャパン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kyamaguchi</dc:creator>
  <cp:lastModifiedBy>美幸</cp:lastModifiedBy>
  <cp:lastPrinted>2025-04-14T05:10:22Z</cp:lastPrinted>
  <dcterms:created xsi:type="dcterms:W3CDTF">2006-09-26T00:56:49Z</dcterms:created>
  <dcterms:modified xsi:type="dcterms:W3CDTF">2025-04-14T05:11:13Z</dcterms:modified>
</cp:coreProperties>
</file>