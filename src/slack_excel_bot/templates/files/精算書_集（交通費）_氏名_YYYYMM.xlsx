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G:\.shortcut-targets-by-id\19Hx1j5g3C7mdXSMjMpe6Q1_u_QAwCbzu\総務\申請書フォーマット\"/>
    </mc:Choice>
  </mc:AlternateContent>
  <xr:revisionPtr revIDLastSave="0" documentId="13_ncr:1_{C2CADC4E-91A4-4586-9297-44EEB7C7FA6F}" xr6:coauthVersionLast="47" xr6:coauthVersionMax="47" xr10:uidLastSave="{00000000-0000-0000-0000-000000000000}"/>
  <workbookProtection workbookAlgorithmName="SHA-512" workbookHashValue="eQHqm01TUJ3duPQsLqI4jiclCv09NMgZ+Or1m/eMpTzPhQ2jnOYdmk8l6K6aH5Kd+IYgfoWep0jVUFkIUx7tHQ==" workbookSaltValue="1kB9uNjbwilsZn3WC8C8WA==" workbookSpinCount="100000" lockStructure="1"/>
  <bookViews>
    <workbookView xWindow="-108" yWindow="-108" windowWidth="23256" windowHeight="12456" tabRatio="742" xr2:uid="{00000000-000D-0000-FFFF-FFFF00000000}"/>
  </bookViews>
  <sheets>
    <sheet name="精算書（交通費）" sheetId="16559" r:id="rId1"/>
    <sheet name="記入例" sheetId="16561" r:id="rId2"/>
    <sheet name="集計シート" sheetId="16563" state="hidden" r:id="rId3"/>
    <sheet name="部門" sheetId="16562" state="hidden" r:id="rId4"/>
  </sheets>
  <definedNames>
    <definedName name="_xlnm.Print_Area" localSheetId="1">記入例!$B$1:$AM$67</definedName>
    <definedName name="_xlnm.Print_Area" localSheetId="0">'精算書（交通費）'!$A$1:$AL$61</definedName>
    <definedName name="仮払金額" localSheetId="1">記入例!$AJ$6</definedName>
    <definedName name="仮払金額" localSheetId="0">'精算書（交通費）'!$AI$6</definedName>
    <definedName name="仮払金額">#REF!</definedName>
    <definedName name="会社名" localSheetId="1">記入例!$R$4</definedName>
    <definedName name="会社名" localSheetId="0">'精算書（交通費）'!$Q$4</definedName>
    <definedName name="会社名">#REF!</definedName>
    <definedName name="合計金額" localSheetId="1">記入例!#REF!</definedName>
    <definedName name="合計金額" localSheetId="0">'精算書（交通費）'!#REF!</definedName>
    <definedName name="合計金額">#REF!</definedName>
    <definedName name="精算区分" localSheetId="1">記入例!$Z$4</definedName>
    <definedName name="精算区分" localSheetId="0">'精算書（交通費）'!$Y$4</definedName>
    <definedName name="精算区分">#REF!</definedName>
    <definedName name="部門">部門!$A$3:$A$12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6563" l="1"/>
  <c r="C3" i="16563"/>
  <c r="C4" i="16563"/>
  <c r="C2" i="16563"/>
  <c r="S4" i="16563"/>
  <c r="S3" i="16563"/>
  <c r="Q4" i="16563"/>
  <c r="Q3" i="16563"/>
  <c r="Q2" i="16563"/>
  <c r="E4" i="16563"/>
  <c r="E3" i="16563"/>
  <c r="E2" i="16563"/>
  <c r="B4" i="16563"/>
  <c r="M4" i="16563" s="1"/>
  <c r="B3" i="16563"/>
  <c r="M3" i="16563" s="1"/>
  <c r="B2" i="16563"/>
  <c r="M2" i="16563" s="1"/>
  <c r="D4" i="16563"/>
  <c r="F4" i="16563" s="1"/>
  <c r="J4" i="16563" s="1"/>
  <c r="D3" i="16563"/>
  <c r="F3" i="16563" s="1"/>
  <c r="J3" i="16563" s="1"/>
  <c r="D2" i="16563"/>
  <c r="F2" i="16563" s="1"/>
  <c r="J2" i="16563" s="1"/>
  <c r="AF43" i="16559"/>
  <c r="AF41" i="16559"/>
  <c r="AF39" i="16559"/>
  <c r="AF37" i="16559"/>
  <c r="AF35" i="16559"/>
  <c r="AF33" i="16559"/>
  <c r="AF31" i="16559"/>
  <c r="AF29" i="16559"/>
  <c r="AF27" i="16559"/>
  <c r="AF25" i="16559"/>
  <c r="AF23" i="16559"/>
  <c r="AF21" i="16559"/>
  <c r="AF19" i="16559"/>
  <c r="AG4" i="16559"/>
  <c r="AF15" i="16559"/>
  <c r="AF17" i="16559"/>
  <c r="AF13" i="16559"/>
  <c r="AF11" i="16559"/>
  <c r="AF9" i="16559"/>
  <c r="T55" i="16561"/>
  <c r="AR1" i="16561"/>
  <c r="AH4" i="16561"/>
  <c r="T9" i="16561"/>
  <c r="X9" i="16561"/>
  <c r="AG9" i="16561"/>
  <c r="V10" i="16561"/>
  <c r="T11" i="16561"/>
  <c r="X11" i="16561"/>
  <c r="AG11" i="16561"/>
  <c r="V12" i="16561"/>
  <c r="T13" i="16561"/>
  <c r="X13" i="16561"/>
  <c r="AG13" i="16561"/>
  <c r="X53" i="16561" s="1" a="1"/>
  <c r="X53" i="16561" s="1"/>
  <c r="T53" i="16561" s="1"/>
  <c r="V14" i="16561"/>
  <c r="T15" i="16561"/>
  <c r="X15" i="16561"/>
  <c r="AG15" i="16561"/>
  <c r="V16" i="16561"/>
  <c r="T17" i="16561"/>
  <c r="X17" i="16561"/>
  <c r="AG17" i="16561"/>
  <c r="V18" i="16561"/>
  <c r="T19" i="16561"/>
  <c r="X19" i="16561"/>
  <c r="AG19" i="16561"/>
  <c r="V20" i="16561"/>
  <c r="T21" i="16561"/>
  <c r="X21" i="16561"/>
  <c r="AG21" i="16561"/>
  <c r="V22" i="16561"/>
  <c r="T23" i="16561"/>
  <c r="X23" i="16561"/>
  <c r="AG23" i="16561"/>
  <c r="V24" i="16561"/>
  <c r="T25" i="16561"/>
  <c r="X25" i="16561"/>
  <c r="AG25" i="16561"/>
  <c r="V26" i="16561"/>
  <c r="T27" i="16561"/>
  <c r="X27" i="16561"/>
  <c r="AG27" i="16561"/>
  <c r="V28" i="16561"/>
  <c r="T29" i="16561"/>
  <c r="X29" i="16561"/>
  <c r="AG29" i="16561"/>
  <c r="V30" i="16561"/>
  <c r="T31" i="16561"/>
  <c r="X31" i="16561"/>
  <c r="AG31" i="16561"/>
  <c r="V32" i="16561"/>
  <c r="T33" i="16561"/>
  <c r="X33" i="16561"/>
  <c r="AG33" i="16561"/>
  <c r="V34" i="16561"/>
  <c r="T35" i="16561"/>
  <c r="X35" i="16561"/>
  <c r="AG35" i="16561"/>
  <c r="V36" i="16561"/>
  <c r="T37" i="16561"/>
  <c r="X37" i="16561"/>
  <c r="AG37" i="16561"/>
  <c r="V38" i="16561"/>
  <c r="T39" i="16561"/>
  <c r="X39" i="16561"/>
  <c r="AG39" i="16561"/>
  <c r="V40" i="16561"/>
  <c r="T41" i="16561"/>
  <c r="X41" i="16561"/>
  <c r="AG41" i="16561"/>
  <c r="V42" i="16561"/>
  <c r="T43" i="16561"/>
  <c r="X43" i="16561"/>
  <c r="AG43" i="16561"/>
  <c r="V44" i="16561"/>
  <c r="T45" i="16561"/>
  <c r="X45" i="16561"/>
  <c r="AG45" i="16561"/>
  <c r="V46" i="16561"/>
  <c r="T47" i="16561"/>
  <c r="X47" i="16561"/>
  <c r="AG47" i="16561"/>
  <c r="V48" i="16561"/>
  <c r="T49" i="16561"/>
  <c r="X49" i="16561"/>
  <c r="AG49" i="16561"/>
  <c r="V50" i="16561"/>
  <c r="S49" i="16559"/>
  <c r="N4" i="16563" s="1"/>
  <c r="AQ1" i="16559"/>
  <c r="AA47" i="16559" l="1"/>
  <c r="W47" i="16559" a="1"/>
  <c r="W47" i="16559" s="1"/>
  <c r="S47" i="16559" s="1"/>
  <c r="N2" i="16563" s="1"/>
  <c r="X54" i="16561" a="1"/>
  <c r="X54" i="16561" s="1"/>
  <c r="T54" i="16561" s="1"/>
  <c r="W48" i="16559" a="1"/>
  <c r="W48" i="16559" s="1"/>
  <c r="S48" i="16559" s="1"/>
  <c r="N3" i="16563" s="1"/>
  <c r="AB53" i="165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fukazawa.tomoyuki</author>
    <author>Shiratori Masashi</author>
  </authors>
  <commentList>
    <comment ref="N8" authorId="0" shapeId="0" xr:uid="{00000000-0006-0000-0000-000001000000}">
      <text>
        <r>
          <rPr>
            <b/>
            <sz val="8"/>
            <color indexed="81"/>
            <rFont val="ＭＳ Ｐゴシック"/>
            <family val="3"/>
            <charset val="128"/>
          </rPr>
          <t>■経路
◇電車の場合
　→上の段：駅名を入力してください
　→下の段：鉄道会社名を入力してください
◇バスの場合
　→上の段：停留所名を入力してください
　→下の段：バス会社名を入力してください
◇タクシーの場合
　→上の段：出発/到着地点を入力してください
　→下の段：入力しないでください</t>
        </r>
      </text>
    </comment>
    <comment ref="AD8" authorId="1" shapeId="0" xr:uid="{00000000-0006-0000-0000-000002000000}">
      <text>
        <r>
          <rPr>
            <sz val="8"/>
            <color indexed="81"/>
            <rFont val="ＭＳ Ｐゴシック"/>
            <family val="3"/>
            <charset val="128"/>
          </rPr>
          <t>■</t>
        </r>
        <r>
          <rPr>
            <b/>
            <sz val="8"/>
            <color indexed="81"/>
            <rFont val="ＭＳ Ｐゴシック"/>
            <family val="3"/>
            <charset val="128"/>
          </rPr>
          <t>往復</t>
        </r>
        <r>
          <rPr>
            <sz val="8"/>
            <color indexed="81"/>
            <rFont val="ＭＳ Ｐゴシック"/>
            <family val="3"/>
            <charset val="128"/>
          </rPr>
          <t xml:space="preserve">
電車・バスで同じ経路を往復した
場合は『●』を選択してください</t>
        </r>
      </text>
    </comment>
    <comment ref="AJ8" authorId="1" shapeId="0" xr:uid="{00000000-0006-0000-0000-000003000000}">
      <text>
        <r>
          <rPr>
            <sz val="8"/>
            <color indexed="81"/>
            <rFont val="ＭＳ Ｐゴシック"/>
            <family val="3"/>
            <charset val="128"/>
          </rPr>
          <t>■</t>
        </r>
        <r>
          <rPr>
            <b/>
            <sz val="8"/>
            <color indexed="81"/>
            <rFont val="ＭＳ Ｐゴシック"/>
            <family val="3"/>
            <charset val="128"/>
          </rPr>
          <t>領収証について</t>
        </r>
        <r>
          <rPr>
            <sz val="8"/>
            <color indexed="81"/>
            <rFont val="ＭＳ Ｐゴシック"/>
            <family val="3"/>
            <charset val="128"/>
          </rPr>
          <t xml:space="preserve">
◇</t>
        </r>
        <r>
          <rPr>
            <b/>
            <sz val="8"/>
            <color indexed="81"/>
            <rFont val="ＭＳ Ｐゴシック"/>
            <family val="3"/>
            <charset val="128"/>
          </rPr>
          <t>電車・バスの場合</t>
        </r>
        <r>
          <rPr>
            <sz val="8"/>
            <color indexed="81"/>
            <rFont val="ＭＳ Ｐゴシック"/>
            <family val="3"/>
            <charset val="128"/>
          </rPr>
          <t xml:space="preserve">
　→１区間の片道金額が3,000円以上の場合は必ず領収証を添付してください
◇</t>
        </r>
        <r>
          <rPr>
            <b/>
            <sz val="8"/>
            <color indexed="81"/>
            <rFont val="ＭＳ Ｐゴシック"/>
            <family val="3"/>
            <charset val="128"/>
          </rPr>
          <t>タクシーの場合</t>
        </r>
        <r>
          <rPr>
            <sz val="8"/>
            <color indexed="81"/>
            <rFont val="ＭＳ Ｐゴシック"/>
            <family val="3"/>
            <charset val="128"/>
          </rPr>
          <t xml:space="preserve">
　→必ず領収証を添付してください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fukazawa.tomoyuki</author>
    <author>Shiratori Masashi</author>
  </authors>
  <commentList>
    <comment ref="O8" authorId="0" shapeId="0" xr:uid="{00000000-0006-0000-0100-000001000000}">
      <text>
        <r>
          <rPr>
            <b/>
            <sz val="8"/>
            <color indexed="81"/>
            <rFont val="ＭＳ Ｐゴシック"/>
            <family val="3"/>
            <charset val="128"/>
          </rPr>
          <t>■経路
◇電車の場合
　→上の段：駅名を入力してください
　→下の段：鉄道会社名を入力してください
◇バスの場合
　→上の段：停留所名を入力してください
　→下の段：バス会社名を入力してください
◇タクシーの場合
　→上の段：出発/到着地点を入力してください
　→下の段：入力しないでください</t>
        </r>
      </text>
    </comment>
    <comment ref="AE8" authorId="1" shapeId="0" xr:uid="{00000000-0006-0000-0100-000002000000}">
      <text>
        <r>
          <rPr>
            <sz val="8"/>
            <color indexed="81"/>
            <rFont val="ＭＳ Ｐゴシック"/>
            <family val="3"/>
            <charset val="128"/>
          </rPr>
          <t>■</t>
        </r>
        <r>
          <rPr>
            <b/>
            <sz val="8"/>
            <color indexed="81"/>
            <rFont val="ＭＳ Ｐゴシック"/>
            <family val="3"/>
            <charset val="128"/>
          </rPr>
          <t>往復</t>
        </r>
        <r>
          <rPr>
            <sz val="8"/>
            <color indexed="81"/>
            <rFont val="ＭＳ Ｐゴシック"/>
            <family val="3"/>
            <charset val="128"/>
          </rPr>
          <t xml:space="preserve">
電車・バスで同じ経路を往復した
場合は『●』を選択してください</t>
        </r>
      </text>
    </comment>
    <comment ref="AK8" authorId="1" shapeId="0" xr:uid="{00000000-0006-0000-0100-000003000000}">
      <text>
        <r>
          <rPr>
            <sz val="8"/>
            <color indexed="81"/>
            <rFont val="ＭＳ Ｐゴシック"/>
            <family val="3"/>
            <charset val="128"/>
          </rPr>
          <t>■</t>
        </r>
        <r>
          <rPr>
            <b/>
            <sz val="8"/>
            <color indexed="81"/>
            <rFont val="ＭＳ Ｐゴシック"/>
            <family val="3"/>
            <charset val="128"/>
          </rPr>
          <t>領収証について</t>
        </r>
        <r>
          <rPr>
            <sz val="8"/>
            <color indexed="81"/>
            <rFont val="ＭＳ Ｐゴシック"/>
            <family val="3"/>
            <charset val="128"/>
          </rPr>
          <t xml:space="preserve">
◇</t>
        </r>
        <r>
          <rPr>
            <b/>
            <sz val="8"/>
            <color indexed="81"/>
            <rFont val="ＭＳ Ｐゴシック"/>
            <family val="3"/>
            <charset val="128"/>
          </rPr>
          <t>電車・バスの場合</t>
        </r>
        <r>
          <rPr>
            <sz val="8"/>
            <color indexed="81"/>
            <rFont val="ＭＳ Ｐゴシック"/>
            <family val="3"/>
            <charset val="128"/>
          </rPr>
          <t xml:space="preserve">
　→１区間の片道金額が3,000円以上の場合は必ず領収証を添付してください
◇</t>
        </r>
        <r>
          <rPr>
            <b/>
            <sz val="8"/>
            <color indexed="81"/>
            <rFont val="ＭＳ Ｐゴシック"/>
            <family val="3"/>
            <charset val="128"/>
          </rPr>
          <t>タクシーの場合</t>
        </r>
        <r>
          <rPr>
            <sz val="8"/>
            <color indexed="81"/>
            <rFont val="ＭＳ Ｐゴシック"/>
            <family val="3"/>
            <charset val="128"/>
          </rPr>
          <t xml:space="preserve">
　→必ず領収証を添付してください</t>
        </r>
      </text>
    </comment>
  </commentList>
</comments>
</file>

<file path=xl/sharedStrings.xml><?xml version="1.0" encoding="utf-8"?>
<sst xmlns="http://schemas.openxmlformats.org/spreadsheetml/2006/main" count="382" uniqueCount="95">
  <si>
    <t>目的</t>
    <rPh sb="0" eb="2">
      <t>モクテキ</t>
    </rPh>
    <phoneticPr fontId="2"/>
  </si>
  <si>
    <t>訪問先</t>
    <rPh sb="0" eb="2">
      <t>ホウモン</t>
    </rPh>
    <rPh sb="2" eb="3">
      <t>サキ</t>
    </rPh>
    <phoneticPr fontId="2"/>
  </si>
  <si>
    <t>交通手段</t>
    <rPh sb="0" eb="2">
      <t>コウツウ</t>
    </rPh>
    <rPh sb="2" eb="4">
      <t>シュダン</t>
    </rPh>
    <phoneticPr fontId="2"/>
  </si>
  <si>
    <t>片道金額</t>
    <rPh sb="0" eb="2">
      <t>カタミチ</t>
    </rPh>
    <rPh sb="2" eb="4">
      <t>キンガク</t>
    </rPh>
    <phoneticPr fontId="2"/>
  </si>
  <si>
    <t>領収証No.</t>
    <rPh sb="0" eb="3">
      <t>リョウシュウショウ</t>
    </rPh>
    <phoneticPr fontId="2"/>
  </si>
  <si>
    <t>往復</t>
    <rPh sb="0" eb="2">
      <t>オウフク</t>
    </rPh>
    <phoneticPr fontId="2"/>
  </si>
  <si>
    <t>小計</t>
    <rPh sb="0" eb="2">
      <t>ショウケイ</t>
    </rPh>
    <phoneticPr fontId="2"/>
  </si>
  <si>
    <t>経路</t>
    <rPh sb="0" eb="2">
      <t>ケイロ</t>
    </rPh>
    <phoneticPr fontId="2"/>
  </si>
  <si>
    <t>目的・訪問先</t>
    <rPh sb="0" eb="2">
      <t>モクテキ</t>
    </rPh>
    <rPh sb="3" eb="5">
      <t>ホウモン</t>
    </rPh>
    <rPh sb="5" eb="6">
      <t>サキ</t>
    </rPh>
    <phoneticPr fontId="2"/>
  </si>
  <si>
    <t>発生日</t>
    <rPh sb="0" eb="3">
      <t>ハッセイビ</t>
    </rPh>
    <phoneticPr fontId="2"/>
  </si>
  <si>
    <t>電車・バス</t>
    <rPh sb="0" eb="2">
      <t>デンシャ</t>
    </rPh>
    <phoneticPr fontId="2"/>
  </si>
  <si>
    <t>タクシー</t>
    <phoneticPr fontId="2"/>
  </si>
  <si>
    <t>決裁承認</t>
    <rPh sb="0" eb="2">
      <t>ケッサイ</t>
    </rPh>
    <rPh sb="2" eb="4">
      <t>ショウニン</t>
    </rPh>
    <phoneticPr fontId="2"/>
  </si>
  <si>
    <t>検印</t>
    <rPh sb="0" eb="2">
      <t>ケンイン</t>
    </rPh>
    <phoneticPr fontId="2"/>
  </si>
  <si>
    <t>合計金額</t>
    <rPh sb="0" eb="2">
      <t>ゴウケイ</t>
    </rPh>
    <rPh sb="2" eb="4">
      <t>キンガク</t>
    </rPh>
    <phoneticPr fontId="2"/>
  </si>
  <si>
    <t>担当</t>
    <rPh sb="0" eb="2">
      <t>タントウ</t>
    </rPh>
    <phoneticPr fontId="2"/>
  </si>
  <si>
    <t>伝票番号</t>
    <rPh sb="0" eb="2">
      <t>デンピョウ</t>
    </rPh>
    <rPh sb="2" eb="4">
      <t>バンゴウ</t>
    </rPh>
    <phoneticPr fontId="2"/>
  </si>
  <si>
    <t>作成日</t>
    <rPh sb="0" eb="3">
      <t>サクセイビ</t>
    </rPh>
    <phoneticPr fontId="2"/>
  </si>
  <si>
    <t>※黄色の欄だけ入力してください</t>
    <rPh sb="1" eb="3">
      <t>キイロ</t>
    </rPh>
    <rPh sb="4" eb="5">
      <t>ラン</t>
    </rPh>
    <rPh sb="7" eb="9">
      <t>ニュウリョク</t>
    </rPh>
    <phoneticPr fontId="2"/>
  </si>
  <si>
    <t>申請者</t>
    <rPh sb="0" eb="3">
      <t>シンセイシャ</t>
    </rPh>
    <phoneticPr fontId="2"/>
  </si>
  <si>
    <t>部門</t>
    <rPh sb="0" eb="2">
      <t>ブモン</t>
    </rPh>
    <phoneticPr fontId="2"/>
  </si>
  <si>
    <t>社員番号</t>
    <rPh sb="0" eb="2">
      <t>シャイン</t>
    </rPh>
    <rPh sb="2" eb="4">
      <t>バンゴウ</t>
    </rPh>
    <phoneticPr fontId="2"/>
  </si>
  <si>
    <t>氏名</t>
    <rPh sb="0" eb="2">
      <t>シメイ</t>
    </rPh>
    <phoneticPr fontId="2"/>
  </si>
  <si>
    <t>印</t>
    <rPh sb="0" eb="1">
      <t>イン</t>
    </rPh>
    <phoneticPr fontId="2"/>
  </si>
  <si>
    <t>精算書（交通費）</t>
    <rPh sb="0" eb="2">
      <t>セイサン</t>
    </rPh>
    <rPh sb="2" eb="3">
      <t>ショ</t>
    </rPh>
    <rPh sb="4" eb="7">
      <t>コウツウヒ</t>
    </rPh>
    <phoneticPr fontId="2"/>
  </si>
  <si>
    <t>支払処理</t>
  </si>
  <si>
    <t>伝票入力処理日</t>
    <rPh sb="0" eb="2">
      <t>デンピョウ</t>
    </rPh>
    <rPh sb="2" eb="4">
      <t>ニュウリョク</t>
    </rPh>
    <rPh sb="4" eb="6">
      <t>ショリ</t>
    </rPh>
    <rPh sb="6" eb="7">
      <t>ビ</t>
    </rPh>
    <phoneticPr fontId="2"/>
  </si>
  <si>
    <t>　日付</t>
    <rPh sb="1" eb="3">
      <t>ヒヅケ</t>
    </rPh>
    <phoneticPr fontId="2"/>
  </si>
  <si>
    <t>支払確認</t>
    <rPh sb="0" eb="2">
      <t>シハライ</t>
    </rPh>
    <rPh sb="2" eb="4">
      <t>カクニン</t>
    </rPh>
    <phoneticPr fontId="2"/>
  </si>
  <si>
    <t>入力担当</t>
    <rPh sb="0" eb="2">
      <t>ニュウリョク</t>
    </rPh>
    <rPh sb="2" eb="4">
      <t>タントウ</t>
    </rPh>
    <phoneticPr fontId="2"/>
  </si>
  <si>
    <t>相手科目</t>
    <rPh sb="0" eb="2">
      <t>アイテ</t>
    </rPh>
    <rPh sb="2" eb="4">
      <t>カモク</t>
    </rPh>
    <phoneticPr fontId="2"/>
  </si>
  <si>
    <t>　その他</t>
    <rPh sb="3" eb="4">
      <t>タ</t>
    </rPh>
    <phoneticPr fontId="2"/>
  </si>
  <si>
    <t>記入要領：精算書（交通費）</t>
    <rPh sb="0" eb="2">
      <t>キニュウ</t>
    </rPh>
    <rPh sb="2" eb="4">
      <t>ヨウリョウ</t>
    </rPh>
    <rPh sb="5" eb="7">
      <t>セイサン</t>
    </rPh>
    <rPh sb="7" eb="8">
      <t>ショ</t>
    </rPh>
    <rPh sb="9" eb="12">
      <t>コウツウヒ</t>
    </rPh>
    <phoneticPr fontId="2"/>
  </si>
  <si>
    <t>研修・セミナー参加</t>
  </si>
  <si>
    <t>新日本監査法人</t>
    <rPh sb="0" eb="3">
      <t>シンニホン</t>
    </rPh>
    <rPh sb="3" eb="5">
      <t>カンサ</t>
    </rPh>
    <rPh sb="5" eb="7">
      <t>ホウジン</t>
    </rPh>
    <phoneticPr fontId="2"/>
  </si>
  <si>
    <t>電車・バス</t>
  </si>
  <si>
    <t>●</t>
  </si>
  <si>
    <t>深夜帰宅</t>
  </si>
  <si>
    <t>タクシー</t>
  </si>
  <si>
    <t>-</t>
    <phoneticPr fontId="2"/>
  </si>
  <si>
    <t>駅名</t>
    <rPh sb="0" eb="2">
      <t>エキメイ</t>
    </rPh>
    <phoneticPr fontId="2"/>
  </si>
  <si>
    <t>路線名</t>
    <rPh sb="0" eb="2">
      <t>ロセン</t>
    </rPh>
    <rPh sb="2" eb="3">
      <t>メイ</t>
    </rPh>
    <phoneticPr fontId="2"/>
  </si>
  <si>
    <t>財務経理部</t>
  </si>
  <si>
    <t>○○　●●</t>
    <phoneticPr fontId="2"/>
  </si>
  <si>
    <t>自宅</t>
    <phoneticPr fontId="2"/>
  </si>
  <si>
    <t>品川シーサイド</t>
    <phoneticPr fontId="2"/>
  </si>
  <si>
    <t>東京</t>
    <phoneticPr fontId="2"/>
  </si>
  <si>
    <t>りんかい線・ＪＲ</t>
    <phoneticPr fontId="2"/>
  </si>
  <si>
    <t xml:space="preserve"> </t>
    <phoneticPr fontId="2"/>
  </si>
  <si>
    <t xml:space="preserve">           　旅費交通費</t>
    <rPh sb="12" eb="14">
      <t>リョヒ</t>
    </rPh>
    <rPh sb="14" eb="17">
      <t>コウツウヒ</t>
    </rPh>
    <phoneticPr fontId="2"/>
  </si>
  <si>
    <t xml:space="preserve">           　接待交際費</t>
    <rPh sb="12" eb="14">
      <t>セッタイ</t>
    </rPh>
    <rPh sb="14" eb="17">
      <t>コウサイヒ</t>
    </rPh>
    <phoneticPr fontId="2"/>
  </si>
  <si>
    <t xml:space="preserve">       電車バス</t>
    <rPh sb="7" eb="9">
      <t>デンシャ</t>
    </rPh>
    <phoneticPr fontId="2"/>
  </si>
  <si>
    <t xml:space="preserve">       タクシー</t>
    <phoneticPr fontId="2"/>
  </si>
  <si>
    <t xml:space="preserve">       他接待交際費</t>
    <rPh sb="7" eb="8">
      <t>タ</t>
    </rPh>
    <rPh sb="8" eb="10">
      <t>セッタイ</t>
    </rPh>
    <rPh sb="10" eb="13">
      <t>コウサイヒ</t>
    </rPh>
    <phoneticPr fontId="2"/>
  </si>
  <si>
    <t>管理部使用欄</t>
    <rPh sb="0" eb="3">
      <t>カンリブ</t>
    </rPh>
    <rPh sb="3" eb="5">
      <t>シヨウ</t>
    </rPh>
    <rPh sb="5" eb="6">
      <t>ラン</t>
    </rPh>
    <phoneticPr fontId="2"/>
  </si>
  <si>
    <t>管理部使用欄</t>
    <rPh sb="0" eb="2">
      <t>カンリ</t>
    </rPh>
    <phoneticPr fontId="2"/>
  </si>
  <si>
    <t>承認</t>
    <phoneticPr fontId="2"/>
  </si>
  <si>
    <t>承認</t>
    <rPh sb="0" eb="2">
      <t>ショウニン</t>
    </rPh>
    <phoneticPr fontId="2"/>
  </si>
  <si>
    <t>現金</t>
    <rPh sb="0" eb="2">
      <t>ゲンキン</t>
    </rPh>
    <phoneticPr fontId="2"/>
  </si>
  <si>
    <t>当座預金</t>
    <rPh sb="0" eb="2">
      <t>トウザ</t>
    </rPh>
    <rPh sb="2" eb="4">
      <t>ヨキン</t>
    </rPh>
    <phoneticPr fontId="2"/>
  </si>
  <si>
    <t>未払金</t>
    <rPh sb="0" eb="1">
      <t>ミ</t>
    </rPh>
    <rPh sb="1" eb="2">
      <t>バライ</t>
    </rPh>
    <rPh sb="2" eb="3">
      <t>キ</t>
    </rPh>
    <phoneticPr fontId="2"/>
  </si>
  <si>
    <t>㈱リーディングソフト</t>
    <phoneticPr fontId="2"/>
  </si>
  <si>
    <t>～</t>
    <phoneticPr fontId="2"/>
  </si>
  <si>
    <t>部門名称一覧</t>
    <rPh sb="0" eb="2">
      <t>ブモン</t>
    </rPh>
    <rPh sb="2" eb="4">
      <t>メイショウ</t>
    </rPh>
    <rPh sb="4" eb="6">
      <t>イチラン</t>
    </rPh>
    <phoneticPr fontId="2"/>
  </si>
  <si>
    <t>部門
名前の定義：部門</t>
    <rPh sb="0" eb="2">
      <t>ブモン</t>
    </rPh>
    <rPh sb="3" eb="5">
      <t>ナマエ</t>
    </rPh>
    <rPh sb="6" eb="8">
      <t>テイギ</t>
    </rPh>
    <rPh sb="9" eb="11">
      <t>ブモン</t>
    </rPh>
    <phoneticPr fontId="2"/>
  </si>
  <si>
    <t>有効フラグ</t>
    <rPh sb="0" eb="2">
      <t>ユウコウ</t>
    </rPh>
    <phoneticPr fontId="2"/>
  </si>
  <si>
    <t>取締役会</t>
    <rPh sb="0" eb="3">
      <t>トリシマリヤク</t>
    </rPh>
    <rPh sb="3" eb="4">
      <t>カイ</t>
    </rPh>
    <phoneticPr fontId="16"/>
  </si>
  <si>
    <t>営業部</t>
    <rPh sb="0" eb="3">
      <t>エイギョウブ</t>
    </rPh>
    <phoneticPr fontId="16"/>
  </si>
  <si>
    <t>管理部</t>
    <rPh sb="0" eb="3">
      <t>カンリブ</t>
    </rPh>
    <phoneticPr fontId="16"/>
  </si>
  <si>
    <t>開発本部</t>
    <rPh sb="0" eb="2">
      <t>カイハツ</t>
    </rPh>
    <rPh sb="2" eb="4">
      <t>ホンブ</t>
    </rPh>
    <phoneticPr fontId="16"/>
  </si>
  <si>
    <t>片道金額
（IC運賃）</t>
    <rPh sb="0" eb="2">
      <t>カタミチ</t>
    </rPh>
    <rPh sb="2" eb="4">
      <t>キンガク</t>
    </rPh>
    <rPh sb="8" eb="10">
      <t>ウンチン</t>
    </rPh>
    <phoneticPr fontId="2"/>
  </si>
  <si>
    <t>ソリューション開発部</t>
    <rPh sb="7" eb="9">
      <t>カイハツ</t>
    </rPh>
    <rPh sb="9" eb="10">
      <t>ブ</t>
    </rPh>
    <phoneticPr fontId="16"/>
  </si>
  <si>
    <t>プラットフォーム開発部</t>
    <rPh sb="8" eb="10">
      <t>カイハツ</t>
    </rPh>
    <rPh sb="10" eb="11">
      <t>ブ</t>
    </rPh>
    <phoneticPr fontId="16"/>
  </si>
  <si>
    <t>カスタマサポートエンジニアリング部</t>
    <phoneticPr fontId="2"/>
  </si>
  <si>
    <t>名前</t>
    <rPh sb="0" eb="2">
      <t>ナマエ</t>
    </rPh>
    <phoneticPr fontId="2"/>
  </si>
  <si>
    <t>負担部門</t>
    <rPh sb="0" eb="4">
      <t>フタンブモン</t>
    </rPh>
    <phoneticPr fontId="2"/>
  </si>
  <si>
    <t>勘定項目1</t>
    <rPh sb="0" eb="4">
      <t>カンジョウコウモク</t>
    </rPh>
    <phoneticPr fontId="2"/>
  </si>
  <si>
    <t>勘定項目2</t>
    <rPh sb="0" eb="4">
      <t>カンジョウコウモク</t>
    </rPh>
    <phoneticPr fontId="2"/>
  </si>
  <si>
    <t>勘定項目3</t>
    <rPh sb="0" eb="2">
      <t>カンジョウ</t>
    </rPh>
    <rPh sb="2" eb="4">
      <t>コウモク</t>
    </rPh>
    <phoneticPr fontId="2"/>
  </si>
  <si>
    <t>勘定項目</t>
    <rPh sb="0" eb="2">
      <t>カンジョウ</t>
    </rPh>
    <rPh sb="2" eb="4">
      <t>コウモク</t>
    </rPh>
    <phoneticPr fontId="2"/>
  </si>
  <si>
    <t>補助項目1</t>
    <rPh sb="0" eb="2">
      <t>ホジョ</t>
    </rPh>
    <rPh sb="2" eb="4">
      <t>コウモク</t>
    </rPh>
    <phoneticPr fontId="2"/>
  </si>
  <si>
    <t>補助項目2</t>
    <rPh sb="0" eb="2">
      <t>ホジョ</t>
    </rPh>
    <rPh sb="2" eb="4">
      <t>コウモク</t>
    </rPh>
    <phoneticPr fontId="2"/>
  </si>
  <si>
    <t>補助項目</t>
  </si>
  <si>
    <t>金額</t>
    <rPh sb="0" eb="2">
      <t>キンガク</t>
    </rPh>
    <phoneticPr fontId="2"/>
  </si>
  <si>
    <t>税区分</t>
    <rPh sb="0" eb="3">
      <t>ゼイクブン</t>
    </rPh>
    <phoneticPr fontId="2"/>
  </si>
  <si>
    <t>摘要</t>
    <rPh sb="0" eb="2">
      <t>テキヨウ</t>
    </rPh>
    <phoneticPr fontId="2"/>
  </si>
  <si>
    <t>プロジェクトコード:名称</t>
    <rPh sb="10" eb="12">
      <t>メイショウ</t>
    </rPh>
    <phoneticPr fontId="2"/>
  </si>
  <si>
    <t>ファイル名</t>
    <rPh sb="4" eb="5">
      <t>メイ</t>
    </rPh>
    <phoneticPr fontId="2"/>
  </si>
  <si>
    <t>課対仕入内10%適格</t>
  </si>
  <si>
    <t>旅費交通費</t>
    <rPh sb="0" eb="5">
      <t>リョヒコウツウヒ</t>
    </rPh>
    <phoneticPr fontId="2"/>
  </si>
  <si>
    <t>交際費</t>
    <rPh sb="0" eb="3">
      <t>コウサイヒ</t>
    </rPh>
    <phoneticPr fontId="2"/>
  </si>
  <si>
    <t>開発区分</t>
    <rPh sb="0" eb="2">
      <t>カイハツ</t>
    </rPh>
    <rPh sb="2" eb="4">
      <t>クブン</t>
    </rPh>
    <phoneticPr fontId="2"/>
  </si>
  <si>
    <t>個人精算区分</t>
    <rPh sb="0" eb="4">
      <t>コジンセイサン</t>
    </rPh>
    <rPh sb="4" eb="6">
      <t>クブン</t>
    </rPh>
    <phoneticPr fontId="2"/>
  </si>
  <si>
    <t>交通費</t>
    <rPh sb="0" eb="3">
      <t>コウツウヒ</t>
    </rPh>
    <phoneticPr fontId="2"/>
  </si>
  <si>
    <t>支払先</t>
    <rPh sb="0" eb="2">
      <t>シハラ</t>
    </rPh>
    <rPh sb="2" eb="3">
      <t>サキ</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</si>
</sst>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76" formatCode="m/d"/>
    <numFmt numFmtId="177" formatCode="0000"/>
    <numFmt numFmtId="178" formatCode="yyyy&quot;年&quot;m&quot;月&quot;d&quot;日&quot;;@"/>
  </numFmts>
  <fonts count="17" x14ac:knownFonts="1">
    <font>
      <sz val="11"/>
      <name val="ＭＳ Ｐゴシック"/>
      <family val="3"/>
      <charset val="128"/>
    </font>
    <font>
      <sz val="11"/>
      <name val="ＭＳ Ｐゴシック"/>
      <family val="3"/>
      <charset val="128"/>
    </font>
    <font>
      <sz val="6"/>
      <name val="ＭＳ Ｐゴシック"/>
      <family val="3"/>
      <charset val="128"/>
    </font>
    <font>
      <sz val="8"/>
      <name val="ＭＳ Ｐゴシック"/>
      <family val="3"/>
      <charset val="128"/>
    </font>
    <font>
      <sz val="18"/>
      <name val="ＭＳ Ｐゴシック"/>
      <family val="3"/>
      <charset val="128"/>
    </font>
    <font>
      <sz val="8"/>
      <color indexed="81"/>
      <name val="ＭＳ Ｐゴシック"/>
      <family val="3"/>
      <charset val="128"/>
    </font>
    <font>
      <b/>
      <sz val="8"/>
      <color indexed="81"/>
      <name val="ＭＳ Ｐゴシック"/>
      <family val="3"/>
      <charset val="128"/>
    </font>
    <font>
      <b/>
      <sz val="8"/>
      <color indexed="10"/>
      <name val="ＭＳ Ｐゴシック"/>
      <family val="3"/>
      <charset val="128"/>
    </font>
    <font>
      <b/>
      <sz val="11"/>
      <name val="ＭＳ Ｐゴシック"/>
      <family val="3"/>
      <charset val="128"/>
    </font>
    <font>
      <sz val="9"/>
      <name val="ＭＳ Ｐゴシック"/>
      <family val="3"/>
      <charset val="128"/>
    </font>
    <font>
      <sz val="10"/>
      <name val="ＭＳ Ｐゴシック"/>
      <family val="3"/>
      <charset val="128"/>
    </font>
    <font>
      <sz val="11"/>
      <name val="ＭＳ Ｐゴシック"/>
      <family val="3"/>
      <charset val="128"/>
    </font>
    <font>
      <b/>
      <sz val="8"/>
      <name val="ＭＳ Ｐゴシック"/>
      <family val="3"/>
      <charset val="128"/>
    </font>
    <font>
      <b/>
      <sz val="9"/>
      <name val="ＭＳ Ｐゴシック"/>
      <family val="3"/>
      <charset val="128"/>
    </font>
    <font>
      <b/>
      <sz val="11"/>
      <color indexed="9"/>
      <name val="ＭＳ Ｐゴシック"/>
      <family val="3"/>
      <charset val="128"/>
    </font>
    <font>
      <b/>
      <sz val="10"/>
      <name val="ＭＳ Ｐゴシック"/>
      <family val="3"/>
      <charset val="128"/>
    </font>
    <font>
      <sz val="11"/>
      <color indexed="8"/>
      <name val="ＭＳ Ｐゴシック"/>
      <family val="3"/>
      <charset val="128"/>
    </font>
  </fonts>
  <fills count="8">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FFCC"/>
        <bgColor indexed="64"/>
      </patternFill>
    </fill>
    <fill>
      <patternFill patternType="solid">
        <fgColor rgb="FFCCFFCC"/>
        <bgColor indexed="64"/>
      </patternFill>
    </fill>
    <fill>
      <patternFill patternType="solid">
        <fgColor theme="0"/>
        <bgColor indexed="64"/>
      </patternFill>
    </fill>
  </fills>
  <borders count="32">
    <border>
      <left/>
      <right/>
      <top/>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38" fontId="11" fillId="0" borderId="0" applyFont="0" applyFill="0" applyBorder="0" applyAlignment="0" applyProtection="0"/>
  </cellStyleXfs>
  <cellXfs count="249">
    <xf numFmtId="0" fontId="0" fillId="0" borderId="0" xfId="0"/>
    <xf numFmtId="38" fontId="3" fillId="0" borderId="0" xfId="0" applyNumberFormat="1" applyFont="1" applyAlignment="1" applyProtection="1">
      <alignment horizontal="right" vertical="center"/>
      <protection hidden="1"/>
    </xf>
    <xf numFmtId="0" fontId="3" fillId="0" borderId="0" xfId="0" applyFont="1" applyAlignment="1" applyProtection="1">
      <alignment horizontal="center" vertical="center"/>
      <protection hidden="1"/>
    </xf>
    <xf numFmtId="176" fontId="3" fillId="0" borderId="0" xfId="0" applyNumberFormat="1" applyFont="1" applyAlignment="1" applyProtection="1">
      <alignment horizontal="center" vertical="center"/>
      <protection hidden="1"/>
    </xf>
    <xf numFmtId="0" fontId="3" fillId="0" borderId="1" xfId="0" applyFont="1" applyBorder="1" applyAlignment="1" applyProtection="1">
      <alignment horizontal="center" vertical="center" shrinkToFit="1"/>
      <protection locked="0" hidden="1"/>
    </xf>
    <xf numFmtId="0" fontId="3" fillId="0" borderId="2" xfId="0" applyFont="1" applyBorder="1" applyAlignment="1" applyProtection="1">
      <alignment horizontal="center" vertical="center" shrinkToFit="1"/>
      <protection locked="0" hidden="1"/>
    </xf>
    <xf numFmtId="0" fontId="3" fillId="0" borderId="0" xfId="0" applyFont="1" applyAlignment="1" applyProtection="1">
      <alignment horizontal="center"/>
      <protection hidden="1"/>
    </xf>
    <xf numFmtId="0" fontId="3" fillId="2" borderId="0" xfId="0" applyFont="1" applyFill="1" applyAlignment="1" applyProtection="1">
      <alignment horizontal="center"/>
      <protection hidden="1"/>
    </xf>
    <xf numFmtId="0" fontId="3" fillId="0" borderId="0" xfId="0" applyFont="1" applyProtection="1">
      <protection hidden="1"/>
    </xf>
    <xf numFmtId="0" fontId="7" fillId="0" borderId="0" xfId="0" applyFont="1" applyAlignment="1" applyProtection="1">
      <alignment vertical="center"/>
      <protection hidden="1"/>
    </xf>
    <xf numFmtId="0" fontId="8" fillId="0" borderId="0" xfId="0" applyFont="1" applyAlignment="1">
      <alignment vertical="center"/>
    </xf>
    <xf numFmtId="0" fontId="8" fillId="0" borderId="3" xfId="0" applyFont="1" applyBorder="1" applyAlignment="1">
      <alignment vertical="center"/>
    </xf>
    <xf numFmtId="0" fontId="11" fillId="0" borderId="0" xfId="0" applyFont="1" applyProtection="1">
      <protection hidden="1"/>
    </xf>
    <xf numFmtId="0" fontId="11" fillId="0" borderId="0" xfId="0" applyFont="1" applyAlignment="1" applyProtection="1">
      <alignment vertical="center"/>
      <protection hidden="1"/>
    </xf>
    <xf numFmtId="0" fontId="10" fillId="0" borderId="0" xfId="0" applyFont="1"/>
    <xf numFmtId="0" fontId="9" fillId="0" borderId="0" xfId="0" applyFont="1"/>
    <xf numFmtId="0" fontId="9" fillId="0" borderId="4" xfId="0" applyFont="1" applyBorder="1"/>
    <xf numFmtId="0" fontId="9" fillId="0" borderId="5"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38" fontId="3" fillId="0" borderId="6" xfId="1" applyFont="1" applyBorder="1" applyAlignment="1" applyProtection="1">
      <alignment vertical="center"/>
    </xf>
    <xf numFmtId="38" fontId="3" fillId="0" borderId="7" xfId="1" applyFont="1" applyBorder="1" applyAlignment="1" applyProtection="1">
      <alignment vertical="center"/>
    </xf>
    <xf numFmtId="0" fontId="3" fillId="0" borderId="7" xfId="1" applyNumberFormat="1" applyFont="1" applyFill="1" applyBorder="1" applyAlignment="1" applyProtection="1">
      <alignment vertical="center"/>
    </xf>
    <xf numFmtId="0" fontId="3" fillId="0" borderId="8" xfId="1" applyNumberFormat="1" applyFont="1" applyFill="1" applyBorder="1" applyAlignment="1" applyProtection="1">
      <alignment vertical="center"/>
    </xf>
    <xf numFmtId="38" fontId="3" fillId="0" borderId="9" xfId="1" applyFont="1" applyBorder="1" applyAlignment="1" applyProtection="1">
      <alignment vertical="center"/>
    </xf>
    <xf numFmtId="38" fontId="3" fillId="0" borderId="10" xfId="1" applyFont="1" applyBorder="1" applyAlignment="1" applyProtection="1">
      <alignment vertical="center"/>
    </xf>
    <xf numFmtId="0" fontId="3" fillId="0" borderId="10" xfId="1" applyNumberFormat="1" applyFont="1" applyFill="1" applyBorder="1" applyAlignment="1" applyProtection="1">
      <alignment vertical="center"/>
    </xf>
    <xf numFmtId="0" fontId="3" fillId="0" borderId="11" xfId="1" applyNumberFormat="1" applyFont="1" applyFill="1" applyBorder="1" applyAlignment="1" applyProtection="1">
      <alignment vertical="center"/>
    </xf>
    <xf numFmtId="0" fontId="9" fillId="0" borderId="12" xfId="0" applyFont="1" applyBorder="1" applyAlignment="1">
      <alignment horizontal="center" vertical="center" textRotation="255"/>
    </xf>
    <xf numFmtId="0" fontId="9" fillId="0" borderId="12" xfId="0" applyFont="1" applyBorder="1"/>
    <xf numFmtId="0" fontId="10" fillId="0" borderId="13" xfId="0" applyFont="1" applyBorder="1"/>
    <xf numFmtId="0" fontId="9" fillId="0" borderId="13" xfId="0" applyFont="1" applyBorder="1"/>
    <xf numFmtId="0" fontId="9" fillId="0" borderId="13" xfId="0" applyFont="1" applyBorder="1" applyAlignment="1">
      <alignment horizont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9" fillId="0" borderId="12"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5" xfId="0" applyFont="1" applyBorder="1" applyAlignment="1">
      <alignment horizontal="center" vertical="center"/>
    </xf>
    <xf numFmtId="0" fontId="9" fillId="0" borderId="17" xfId="0" applyFont="1" applyBorder="1" applyAlignment="1">
      <alignment horizontal="center" vertical="center"/>
    </xf>
    <xf numFmtId="0" fontId="9" fillId="0" borderId="12" xfId="0" applyFont="1" applyBorder="1" applyAlignment="1">
      <alignment horizontal="left" vertical="center"/>
    </xf>
    <xf numFmtId="0" fontId="9" fillId="0" borderId="15" xfId="0" applyFont="1" applyBorder="1"/>
    <xf numFmtId="0" fontId="9" fillId="0" borderId="14" xfId="0" applyFont="1" applyBorder="1"/>
    <xf numFmtId="38" fontId="13" fillId="0" borderId="13" xfId="1" applyFont="1" applyBorder="1" applyAlignment="1" applyProtection="1">
      <alignment horizontal="center" vertical="center"/>
    </xf>
    <xf numFmtId="38" fontId="3" fillId="0" borderId="18" xfId="1" applyFont="1" applyBorder="1" applyAlignment="1" applyProtection="1">
      <alignment vertical="center"/>
    </xf>
    <xf numFmtId="38" fontId="3" fillId="0" borderId="19" xfId="1" applyFont="1" applyBorder="1" applyAlignment="1" applyProtection="1">
      <alignment vertical="center"/>
    </xf>
    <xf numFmtId="0" fontId="3" fillId="0" borderId="19" xfId="1" applyNumberFormat="1" applyFont="1" applyFill="1" applyBorder="1" applyAlignment="1" applyProtection="1">
      <alignment vertical="center"/>
    </xf>
    <xf numFmtId="0" fontId="3" fillId="0" borderId="20" xfId="1" applyNumberFormat="1" applyFont="1" applyFill="1" applyBorder="1" applyAlignment="1" applyProtection="1">
      <alignment vertical="center"/>
    </xf>
    <xf numFmtId="0" fontId="14" fillId="0" borderId="5" xfId="0" applyFont="1" applyBorder="1" applyAlignment="1">
      <alignment vertical="center"/>
    </xf>
    <xf numFmtId="0" fontId="14" fillId="0" borderId="0" xfId="0" applyFont="1" applyAlignment="1">
      <alignment vertical="center"/>
    </xf>
    <xf numFmtId="0" fontId="10" fillId="0" borderId="12" xfId="0" applyFont="1" applyBorder="1"/>
    <xf numFmtId="0" fontId="9" fillId="0" borderId="12" xfId="0" applyFont="1" applyBorder="1" applyAlignment="1">
      <alignment horizontal="centerContinuous"/>
    </xf>
    <xf numFmtId="0" fontId="0" fillId="0" borderId="0" xfId="0" applyProtection="1">
      <protection hidden="1"/>
    </xf>
    <xf numFmtId="0" fontId="10" fillId="5" borderId="21" xfId="0" applyFont="1" applyFill="1" applyBorder="1" applyAlignment="1">
      <alignment vertical="center" wrapText="1"/>
    </xf>
    <xf numFmtId="0" fontId="10" fillId="6" borderId="21" xfId="0" applyFont="1" applyFill="1" applyBorder="1" applyAlignment="1">
      <alignment vertical="center"/>
    </xf>
    <xf numFmtId="0" fontId="10" fillId="0" borderId="22" xfId="0" applyFont="1" applyBorder="1"/>
    <xf numFmtId="0" fontId="10" fillId="0" borderId="23" xfId="0" applyFont="1" applyBorder="1"/>
    <xf numFmtId="178" fontId="0" fillId="0" borderId="0" xfId="0" applyNumberFormat="1"/>
    <xf numFmtId="0" fontId="0" fillId="0" borderId="0" xfId="0" applyAlignment="1">
      <alignment horizontal="center"/>
    </xf>
    <xf numFmtId="178" fontId="0" fillId="0" borderId="0" xfId="0" applyNumberFormat="1" applyAlignment="1">
      <alignment horizontal="center"/>
    </xf>
    <xf numFmtId="38" fontId="0" fillId="0" borderId="0" xfId="0" applyNumberFormat="1"/>
    <xf numFmtId="41" fontId="0" fillId="0" borderId="0" xfId="0" applyNumberFormat="1"/>
    <xf numFmtId="0" fontId="0" fillId="7" borderId="0" xfId="0" applyFill="1" applyAlignment="1">
      <alignment horizontal="center"/>
    </xf>
    <xf numFmtId="3" fontId="3" fillId="0" borderId="0" xfId="0" applyNumberFormat="1" applyFont="1" applyProtection="1">
      <protection hidden="1"/>
    </xf>
    <xf numFmtId="0" fontId="3" fillId="0" borderId="0" xfId="0" applyFont="1" applyProtection="1">
      <protection hidden="1"/>
    </xf>
    <xf numFmtId="0" fontId="3" fillId="4" borderId="28" xfId="0" applyFont="1" applyFill="1" applyBorder="1" applyAlignment="1" applyProtection="1">
      <alignment vertical="center" shrinkToFit="1"/>
      <protection locked="0" hidden="1"/>
    </xf>
    <xf numFmtId="0" fontId="3" fillId="4" borderId="7" xfId="0" applyFont="1" applyFill="1" applyBorder="1" applyAlignment="1" applyProtection="1">
      <alignment vertical="center" shrinkToFit="1"/>
      <protection locked="0" hidden="1"/>
    </xf>
    <xf numFmtId="0" fontId="3" fillId="4" borderId="8" xfId="0" applyFont="1" applyFill="1" applyBorder="1" applyAlignment="1" applyProtection="1">
      <alignment vertical="center" shrinkToFit="1"/>
      <protection locked="0" hidden="1"/>
    </xf>
    <xf numFmtId="0" fontId="3" fillId="4" borderId="25" xfId="0" applyFont="1" applyFill="1" applyBorder="1" applyAlignment="1" applyProtection="1">
      <alignment horizontal="center" vertical="center" shrinkToFit="1"/>
      <protection locked="0"/>
    </xf>
    <xf numFmtId="0" fontId="3" fillId="4" borderId="13" xfId="0" applyFont="1" applyFill="1" applyBorder="1" applyAlignment="1" applyProtection="1">
      <alignment horizontal="center" vertical="center" shrinkToFit="1"/>
      <protection locked="0"/>
    </xf>
    <xf numFmtId="0" fontId="3" fillId="4" borderId="14" xfId="0" applyFont="1" applyFill="1" applyBorder="1" applyAlignment="1" applyProtection="1">
      <alignment horizontal="center" vertical="center" shrinkToFit="1"/>
      <protection locked="0"/>
    </xf>
    <xf numFmtId="3" fontId="3" fillId="4" borderId="16" xfId="0" applyNumberFormat="1" applyFont="1" applyFill="1" applyBorder="1" applyAlignment="1" applyProtection="1">
      <alignment horizontal="center" vertical="center" shrinkToFit="1"/>
      <protection locked="0"/>
    </xf>
    <xf numFmtId="3" fontId="3" fillId="4" borderId="13" xfId="0" applyNumberFormat="1" applyFont="1" applyFill="1" applyBorder="1" applyAlignment="1" applyProtection="1">
      <alignment horizontal="center" vertical="center" shrinkToFit="1"/>
      <protection locked="0"/>
    </xf>
    <xf numFmtId="3" fontId="3" fillId="4" borderId="14" xfId="0" applyNumberFormat="1" applyFont="1" applyFill="1" applyBorder="1" applyAlignment="1" applyProtection="1">
      <alignment horizontal="center" vertical="center" shrinkToFit="1"/>
      <protection locked="0"/>
    </xf>
    <xf numFmtId="3" fontId="3" fillId="4" borderId="17" xfId="0" applyNumberFormat="1" applyFont="1" applyFill="1" applyBorder="1" applyAlignment="1" applyProtection="1">
      <alignment horizontal="center" vertical="center" shrinkToFit="1"/>
      <protection locked="0"/>
    </xf>
    <xf numFmtId="3" fontId="3" fillId="4" borderId="12" xfId="0" applyNumberFormat="1" applyFont="1" applyFill="1" applyBorder="1" applyAlignment="1" applyProtection="1">
      <alignment horizontal="center" vertical="center" shrinkToFit="1"/>
      <protection locked="0"/>
    </xf>
    <xf numFmtId="3" fontId="3" fillId="4" borderId="15" xfId="0" applyNumberFormat="1" applyFont="1" applyFill="1" applyBorder="1" applyAlignment="1" applyProtection="1">
      <alignment horizontal="center" vertical="center" shrinkToFit="1"/>
      <protection locked="0"/>
    </xf>
    <xf numFmtId="0" fontId="3" fillId="4" borderId="16" xfId="0" applyFont="1" applyFill="1" applyBorder="1" applyAlignment="1" applyProtection="1">
      <alignment horizontal="center" vertical="center" shrinkToFit="1"/>
      <protection locked="0"/>
    </xf>
    <xf numFmtId="0" fontId="3" fillId="4" borderId="17" xfId="0" applyFont="1" applyFill="1" applyBorder="1" applyAlignment="1" applyProtection="1">
      <alignment horizontal="center" vertical="center" shrinkToFit="1"/>
      <protection locked="0"/>
    </xf>
    <xf numFmtId="0" fontId="3" fillId="4" borderId="15" xfId="0" applyFont="1" applyFill="1" applyBorder="1" applyAlignment="1" applyProtection="1">
      <alignment horizontal="center" vertical="center" shrinkToFit="1"/>
      <protection locked="0"/>
    </xf>
    <xf numFmtId="3" fontId="3" fillId="2" borderId="0" xfId="0" applyNumberFormat="1" applyFont="1" applyFill="1" applyProtection="1">
      <protection hidden="1"/>
    </xf>
    <xf numFmtId="176" fontId="3" fillId="4" borderId="16" xfId="0" applyNumberFormat="1" applyFont="1" applyFill="1" applyBorder="1" applyAlignment="1" applyProtection="1">
      <alignment horizontal="center" vertical="center" shrinkToFit="1"/>
      <protection locked="0"/>
    </xf>
    <xf numFmtId="176" fontId="3" fillId="4" borderId="13" xfId="0" applyNumberFormat="1" applyFont="1" applyFill="1" applyBorder="1" applyAlignment="1" applyProtection="1">
      <alignment horizontal="center" vertical="center" shrinkToFit="1"/>
      <protection locked="0"/>
    </xf>
    <xf numFmtId="176" fontId="3" fillId="4" borderId="14" xfId="0" applyNumberFormat="1" applyFont="1" applyFill="1" applyBorder="1" applyAlignment="1" applyProtection="1">
      <alignment horizontal="center" vertical="center" shrinkToFit="1"/>
      <protection locked="0"/>
    </xf>
    <xf numFmtId="176" fontId="3" fillId="4" borderId="17" xfId="0" applyNumberFormat="1" applyFont="1" applyFill="1" applyBorder="1" applyAlignment="1" applyProtection="1">
      <alignment horizontal="center" vertical="center" shrinkToFit="1"/>
      <protection locked="0"/>
    </xf>
    <xf numFmtId="176" fontId="3" fillId="4" borderId="12" xfId="0" applyNumberFormat="1" applyFont="1" applyFill="1" applyBorder="1" applyAlignment="1" applyProtection="1">
      <alignment horizontal="center" vertical="center" shrinkToFit="1"/>
      <protection locked="0"/>
    </xf>
    <xf numFmtId="176" fontId="3" fillId="4" borderId="15" xfId="0" applyNumberFormat="1" applyFont="1" applyFill="1" applyBorder="1" applyAlignment="1" applyProtection="1">
      <alignment horizontal="center" vertical="center" shrinkToFit="1"/>
      <protection locked="0"/>
    </xf>
    <xf numFmtId="0" fontId="3" fillId="2" borderId="0" xfId="0" applyFont="1" applyFill="1" applyProtection="1">
      <protection hidden="1"/>
    </xf>
    <xf numFmtId="0" fontId="3" fillId="2" borderId="9" xfId="0" applyFont="1" applyFill="1" applyBorder="1" applyAlignment="1" applyProtection="1">
      <alignment horizontal="center" vertical="center" shrinkToFit="1"/>
      <protection hidden="1"/>
    </xf>
    <xf numFmtId="0" fontId="3" fillId="2" borderId="26" xfId="0" applyFont="1" applyFill="1" applyBorder="1" applyAlignment="1" applyProtection="1">
      <alignment horizontal="center" vertical="center" shrinkToFit="1"/>
      <protection hidden="1"/>
    </xf>
    <xf numFmtId="0" fontId="3" fillId="4" borderId="24" xfId="0" applyFont="1" applyFill="1" applyBorder="1" applyAlignment="1" applyProtection="1">
      <alignment vertical="center" shrinkToFit="1"/>
      <protection locked="0" hidden="1"/>
    </xf>
    <xf numFmtId="0" fontId="3" fillId="4" borderId="10" xfId="0" applyFont="1" applyFill="1" applyBorder="1" applyAlignment="1" applyProtection="1">
      <alignment vertical="center" shrinkToFit="1"/>
      <protection locked="0" hidden="1"/>
    </xf>
    <xf numFmtId="0" fontId="3" fillId="4" borderId="11" xfId="0" applyFont="1" applyFill="1" applyBorder="1" applyAlignment="1" applyProtection="1">
      <alignment vertical="center" shrinkToFit="1"/>
      <protection locked="0" hidden="1"/>
    </xf>
    <xf numFmtId="0" fontId="3" fillId="4" borderId="10" xfId="0" applyFont="1" applyFill="1" applyBorder="1" applyAlignment="1" applyProtection="1">
      <alignment horizontal="center" shrinkToFit="1"/>
      <protection locked="0"/>
    </xf>
    <xf numFmtId="0" fontId="3" fillId="4" borderId="26" xfId="0" applyFont="1" applyFill="1" applyBorder="1" applyAlignment="1" applyProtection="1">
      <alignment horizontal="center" shrinkToFit="1"/>
      <protection locked="0"/>
    </xf>
    <xf numFmtId="0" fontId="3" fillId="4" borderId="24" xfId="0" applyFont="1" applyFill="1" applyBorder="1" applyAlignment="1" applyProtection="1">
      <alignment horizontal="center" shrinkToFit="1"/>
      <protection locked="0"/>
    </xf>
    <xf numFmtId="0" fontId="3" fillId="4" borderId="11" xfId="0" applyFont="1" applyFill="1" applyBorder="1" applyAlignment="1" applyProtection="1">
      <alignment horizontal="center" shrinkToFit="1"/>
      <protection locked="0"/>
    </xf>
    <xf numFmtId="0" fontId="3" fillId="4" borderId="12" xfId="0" applyFont="1" applyFill="1" applyBorder="1" applyAlignment="1" applyProtection="1">
      <alignment horizontal="center" vertical="center" shrinkToFit="1"/>
      <protection locked="0"/>
    </xf>
    <xf numFmtId="0" fontId="3" fillId="2" borderId="6" xfId="0" applyFont="1" applyFill="1" applyBorder="1" applyAlignment="1" applyProtection="1">
      <alignment horizontal="center" vertical="center" shrinkToFit="1"/>
      <protection hidden="1"/>
    </xf>
    <xf numFmtId="0" fontId="3" fillId="2" borderId="27" xfId="0" applyFont="1" applyFill="1" applyBorder="1" applyAlignment="1" applyProtection="1">
      <alignment horizontal="center" vertical="center" shrinkToFit="1"/>
      <protection hidden="1"/>
    </xf>
    <xf numFmtId="0" fontId="3" fillId="4" borderId="29" xfId="0" applyFont="1" applyFill="1" applyBorder="1" applyAlignment="1" applyProtection="1">
      <alignment horizontal="center" vertical="center" shrinkToFit="1"/>
      <protection locked="0"/>
    </xf>
    <xf numFmtId="0" fontId="3" fillId="4" borderId="28" xfId="0" applyFont="1" applyFill="1" applyBorder="1" applyAlignment="1" applyProtection="1">
      <alignment horizontal="center" vertical="center" shrinkToFit="1"/>
      <protection locked="0"/>
    </xf>
    <xf numFmtId="0" fontId="3" fillId="4" borderId="7" xfId="0" applyFont="1" applyFill="1" applyBorder="1" applyAlignment="1" applyProtection="1">
      <alignment horizontal="center" vertical="center" shrinkToFit="1"/>
      <protection locked="0"/>
    </xf>
    <xf numFmtId="0" fontId="3" fillId="4" borderId="27" xfId="0" applyFont="1" applyFill="1" applyBorder="1" applyAlignment="1" applyProtection="1">
      <alignment horizontal="center" vertical="center" shrinkToFit="1"/>
      <protection locked="0"/>
    </xf>
    <xf numFmtId="0" fontId="3" fillId="4" borderId="8" xfId="0" applyFont="1" applyFill="1" applyBorder="1" applyAlignment="1" applyProtection="1">
      <alignment horizontal="center" vertical="center" shrinkToFit="1"/>
      <protection locked="0"/>
    </xf>
    <xf numFmtId="38" fontId="3" fillId="0" borderId="16" xfId="0" applyNumberFormat="1" applyFont="1" applyBorder="1" applyAlignment="1" applyProtection="1">
      <alignment horizontal="right" vertical="center" shrinkToFit="1"/>
      <protection hidden="1"/>
    </xf>
    <xf numFmtId="38" fontId="3" fillId="0" borderId="13" xfId="0" applyNumberFormat="1" applyFont="1" applyBorder="1" applyAlignment="1" applyProtection="1">
      <alignment horizontal="right" vertical="center" shrinkToFit="1"/>
      <protection hidden="1"/>
    </xf>
    <xf numFmtId="38" fontId="3" fillId="0" borderId="14" xfId="0" applyNumberFormat="1" applyFont="1" applyBorder="1" applyAlignment="1" applyProtection="1">
      <alignment horizontal="right" vertical="center" shrinkToFit="1"/>
      <protection hidden="1"/>
    </xf>
    <xf numFmtId="38" fontId="3" fillId="0" borderId="17" xfId="0" applyNumberFormat="1" applyFont="1" applyBorder="1" applyAlignment="1" applyProtection="1">
      <alignment horizontal="right" vertical="center" shrinkToFit="1"/>
      <protection hidden="1"/>
    </xf>
    <xf numFmtId="38" fontId="3" fillId="0" borderId="12" xfId="0" applyNumberFormat="1" applyFont="1" applyBorder="1" applyAlignment="1" applyProtection="1">
      <alignment horizontal="right" vertical="center" shrinkToFit="1"/>
      <protection hidden="1"/>
    </xf>
    <xf numFmtId="38" fontId="3" fillId="0" borderId="15" xfId="0" applyNumberFormat="1" applyFont="1" applyBorder="1" applyAlignment="1" applyProtection="1">
      <alignment horizontal="right" vertical="center" shrinkToFit="1"/>
      <protection hidden="1"/>
    </xf>
    <xf numFmtId="38" fontId="13" fillId="0" borderId="16" xfId="1" applyFont="1" applyBorder="1" applyAlignment="1" applyProtection="1">
      <alignment horizontal="center" vertical="center"/>
    </xf>
    <xf numFmtId="38" fontId="13" fillId="0" borderId="13" xfId="1" applyFont="1" applyBorder="1" applyAlignment="1" applyProtection="1">
      <alignment horizontal="center" vertical="center"/>
    </xf>
    <xf numFmtId="38" fontId="13" fillId="0" borderId="14" xfId="1" applyFont="1" applyBorder="1" applyAlignment="1" applyProtection="1">
      <alignment horizontal="center" vertical="center"/>
    </xf>
    <xf numFmtId="38" fontId="13" fillId="0" borderId="17" xfId="1" applyFont="1" applyBorder="1" applyAlignment="1" applyProtection="1">
      <alignment horizontal="center" vertical="center"/>
    </xf>
    <xf numFmtId="38" fontId="13" fillId="0" borderId="12" xfId="1" applyFont="1" applyBorder="1" applyAlignment="1" applyProtection="1">
      <alignment horizontal="center" vertical="center"/>
    </xf>
    <xf numFmtId="38" fontId="13" fillId="0" borderId="15" xfId="1" applyFont="1" applyBorder="1" applyAlignment="1" applyProtection="1">
      <alignment horizontal="center" vertical="center"/>
    </xf>
    <xf numFmtId="0" fontId="9" fillId="3" borderId="30" xfId="0" applyFont="1" applyFill="1" applyBorder="1" applyAlignment="1">
      <alignment horizontal="center"/>
    </xf>
    <xf numFmtId="0" fontId="9" fillId="3" borderId="4" xfId="0" applyFont="1" applyFill="1" applyBorder="1" applyAlignment="1">
      <alignment horizontal="center"/>
    </xf>
    <xf numFmtId="0" fontId="9" fillId="3" borderId="31" xfId="0" applyFont="1" applyFill="1" applyBorder="1" applyAlignment="1">
      <alignment horizontal="center"/>
    </xf>
    <xf numFmtId="0" fontId="9" fillId="0" borderId="0" xfId="0" applyFont="1" applyAlignment="1">
      <alignment vertical="center"/>
    </xf>
    <xf numFmtId="0" fontId="9" fillId="0" borderId="30" xfId="0" applyFont="1" applyBorder="1" applyAlignment="1">
      <alignment horizontal="center"/>
    </xf>
    <xf numFmtId="0" fontId="9" fillId="0" borderId="4" xfId="0" applyFont="1" applyBorder="1" applyAlignment="1">
      <alignment horizontal="center"/>
    </xf>
    <xf numFmtId="0" fontId="9" fillId="0" borderId="31" xfId="0" applyFont="1" applyBorder="1" applyAlignment="1">
      <alignment horizontal="center"/>
    </xf>
    <xf numFmtId="38" fontId="3" fillId="0" borderId="30" xfId="1" applyFont="1" applyFill="1" applyBorder="1" applyAlignment="1" applyProtection="1">
      <alignment horizontal="center" vertical="center"/>
    </xf>
    <xf numFmtId="38" fontId="3" fillId="0" borderId="4" xfId="1" applyFont="1" applyFill="1" applyBorder="1" applyAlignment="1" applyProtection="1">
      <alignment horizontal="center" vertical="center"/>
    </xf>
    <xf numFmtId="38" fontId="3" fillId="0" borderId="31" xfId="1" applyFont="1" applyFill="1" applyBorder="1" applyAlignment="1" applyProtection="1">
      <alignment horizontal="center" vertical="center"/>
    </xf>
    <xf numFmtId="41" fontId="12" fillId="0" borderId="6" xfId="1" applyNumberFormat="1" applyFont="1" applyFill="1" applyBorder="1" applyAlignment="1" applyProtection="1">
      <alignment vertical="center"/>
    </xf>
    <xf numFmtId="41" fontId="12" fillId="0" borderId="7" xfId="1" applyNumberFormat="1" applyFont="1" applyFill="1" applyBorder="1" applyAlignment="1" applyProtection="1">
      <alignment vertical="center"/>
    </xf>
    <xf numFmtId="41" fontId="12" fillId="0" borderId="8" xfId="1" applyNumberFormat="1" applyFont="1" applyFill="1" applyBorder="1" applyAlignment="1" applyProtection="1">
      <alignment vertical="center"/>
    </xf>
    <xf numFmtId="0" fontId="9" fillId="0" borderId="12" xfId="0" applyFont="1" applyBorder="1" applyAlignment="1">
      <alignment horizontal="center"/>
    </xf>
    <xf numFmtId="0" fontId="9" fillId="0" borderId="16" xfId="0" applyFont="1" applyBorder="1" applyAlignment="1">
      <alignment horizontal="center" vertical="center" textRotation="255"/>
    </xf>
    <xf numFmtId="0" fontId="9" fillId="0" borderId="14" xfId="0" applyFont="1" applyBorder="1" applyAlignment="1">
      <alignment horizontal="center" vertical="center" textRotation="255"/>
    </xf>
    <xf numFmtId="0" fontId="9" fillId="0" borderId="5" xfId="0" applyFont="1" applyBorder="1" applyAlignment="1">
      <alignment horizontal="center" vertical="center" textRotation="255"/>
    </xf>
    <xf numFmtId="0" fontId="9" fillId="0" borderId="3" xfId="0" applyFont="1" applyBorder="1" applyAlignment="1">
      <alignment horizontal="center" vertical="center" textRotation="255"/>
    </xf>
    <xf numFmtId="0" fontId="9" fillId="0" borderId="17" xfId="0" applyFont="1" applyBorder="1" applyAlignment="1">
      <alignment horizontal="center" vertical="center" textRotation="255"/>
    </xf>
    <xf numFmtId="0" fontId="9" fillId="0" borderId="15" xfId="0" applyFont="1" applyBorder="1" applyAlignment="1">
      <alignment horizontal="center" vertical="center" textRotation="255"/>
    </xf>
    <xf numFmtId="0" fontId="9" fillId="0" borderId="16" xfId="0" applyFont="1" applyBorder="1" applyAlignment="1">
      <alignment horizontal="center"/>
    </xf>
    <xf numFmtId="0" fontId="9" fillId="0" borderId="13" xfId="0" applyFont="1" applyBorder="1" applyAlignment="1">
      <alignment horizontal="center"/>
    </xf>
    <xf numFmtId="0" fontId="9" fillId="0" borderId="14" xfId="0" applyFont="1" applyBorder="1" applyAlignment="1">
      <alignment horizontal="center"/>
    </xf>
    <xf numFmtId="0" fontId="9" fillId="0" borderId="5" xfId="0" applyFont="1" applyBorder="1" applyAlignment="1">
      <alignment horizontal="center"/>
    </xf>
    <xf numFmtId="0" fontId="9" fillId="0" borderId="0" xfId="0" applyFont="1" applyAlignment="1">
      <alignment horizontal="center"/>
    </xf>
    <xf numFmtId="0" fontId="9" fillId="0" borderId="3" xfId="0" applyFont="1" applyBorder="1" applyAlignment="1">
      <alignment horizontal="center"/>
    </xf>
    <xf numFmtId="0" fontId="9" fillId="0" borderId="17" xfId="0" applyFont="1" applyBorder="1" applyAlignment="1">
      <alignment horizontal="center"/>
    </xf>
    <xf numFmtId="0" fontId="9" fillId="0" borderId="15" xfId="0" applyFont="1" applyBorder="1" applyAlignment="1">
      <alignment horizontal="center"/>
    </xf>
    <xf numFmtId="0" fontId="9" fillId="0" borderId="13" xfId="0" applyFont="1" applyBorder="1" applyAlignment="1">
      <alignment horizontal="left" vertical="center"/>
    </xf>
    <xf numFmtId="0" fontId="9" fillId="0" borderId="12" xfId="0" applyFont="1" applyBorder="1" applyAlignment="1">
      <alignment horizontal="left"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38" fontId="3" fillId="0" borderId="18" xfId="1" applyFont="1" applyBorder="1" applyAlignment="1" applyProtection="1">
      <alignment vertical="center"/>
    </xf>
    <xf numFmtId="38" fontId="3" fillId="0" borderId="19" xfId="1" applyFont="1" applyBorder="1" applyAlignment="1" applyProtection="1">
      <alignment vertical="center"/>
    </xf>
    <xf numFmtId="0" fontId="3" fillId="0" borderId="30" xfId="0" applyFont="1" applyBorder="1" applyAlignment="1">
      <alignment horizontal="center" vertical="center"/>
    </xf>
    <xf numFmtId="0" fontId="3" fillId="0" borderId="4" xfId="0" applyFont="1" applyBorder="1" applyAlignment="1">
      <alignment horizontal="center" vertical="center"/>
    </xf>
    <xf numFmtId="0" fontId="3" fillId="0" borderId="31" xfId="0" applyFont="1" applyBorder="1" applyAlignment="1">
      <alignment horizontal="center" vertical="center"/>
    </xf>
    <xf numFmtId="41" fontId="12" fillId="0" borderId="18" xfId="1" applyNumberFormat="1" applyFont="1" applyFill="1" applyBorder="1" applyAlignment="1" applyProtection="1">
      <alignment vertical="center"/>
    </xf>
    <xf numFmtId="41" fontId="12" fillId="0" borderId="19" xfId="1" applyNumberFormat="1" applyFont="1" applyFill="1" applyBorder="1" applyAlignment="1" applyProtection="1">
      <alignment vertical="center"/>
    </xf>
    <xf numFmtId="41" fontId="12" fillId="0" borderId="20" xfId="1" applyNumberFormat="1" applyFont="1" applyFill="1" applyBorder="1" applyAlignment="1" applyProtection="1">
      <alignment vertical="center"/>
    </xf>
    <xf numFmtId="38" fontId="3" fillId="0" borderId="9" xfId="1" applyFont="1" applyBorder="1" applyAlignment="1" applyProtection="1">
      <alignment horizontal="center" vertical="center"/>
    </xf>
    <xf numFmtId="38" fontId="3" fillId="0" borderId="10" xfId="1" applyFont="1" applyBorder="1" applyAlignment="1" applyProtection="1">
      <alignment horizontal="center" vertical="center"/>
    </xf>
    <xf numFmtId="38" fontId="3" fillId="0" borderId="11" xfId="1" applyFont="1" applyBorder="1" applyAlignment="1" applyProtection="1">
      <alignment horizontal="center" vertical="center"/>
    </xf>
    <xf numFmtId="41" fontId="12" fillId="0" borderId="9" xfId="1" applyNumberFormat="1" applyFont="1" applyFill="1" applyBorder="1" applyAlignment="1" applyProtection="1">
      <alignment vertical="center"/>
    </xf>
    <xf numFmtId="41" fontId="12" fillId="0" borderId="10" xfId="1" applyNumberFormat="1" applyFont="1" applyFill="1" applyBorder="1" applyAlignment="1" applyProtection="1">
      <alignment vertical="center"/>
    </xf>
    <xf numFmtId="41" fontId="12" fillId="0" borderId="11" xfId="1" applyNumberFormat="1" applyFont="1" applyFill="1" applyBorder="1" applyAlignment="1" applyProtection="1">
      <alignment vertical="center"/>
    </xf>
    <xf numFmtId="0" fontId="3" fillId="0" borderId="30" xfId="0" applyFont="1" applyBorder="1" applyAlignment="1">
      <alignment horizontal="center"/>
    </xf>
    <xf numFmtId="0" fontId="3" fillId="0" borderId="4" xfId="0" applyFont="1" applyBorder="1" applyAlignment="1">
      <alignment horizontal="center"/>
    </xf>
    <xf numFmtId="38" fontId="3" fillId="0" borderId="6" xfId="1" applyFont="1" applyBorder="1" applyAlignment="1" applyProtection="1">
      <alignment vertical="center"/>
    </xf>
    <xf numFmtId="38" fontId="3" fillId="0" borderId="7" xfId="1" applyFont="1" applyBorder="1" applyAlignment="1" applyProtection="1">
      <alignment vertical="center"/>
    </xf>
    <xf numFmtId="176" fontId="3" fillId="2" borderId="21" xfId="0" applyNumberFormat="1" applyFont="1" applyFill="1" applyBorder="1" applyAlignment="1" applyProtection="1">
      <alignment horizontal="center" vertical="center"/>
      <protection hidden="1"/>
    </xf>
    <xf numFmtId="0" fontId="9" fillId="2" borderId="21" xfId="0" applyFont="1" applyFill="1" applyBorder="1" applyAlignment="1">
      <alignment horizontal="center" vertical="center"/>
    </xf>
    <xf numFmtId="0" fontId="9" fillId="0" borderId="21" xfId="0" applyFont="1" applyBorder="1" applyAlignment="1">
      <alignment horizontal="center"/>
    </xf>
    <xf numFmtId="0" fontId="3" fillId="2" borderId="4" xfId="0" applyFont="1" applyFill="1" applyBorder="1" applyAlignment="1" applyProtection="1">
      <alignment horizontal="center" vertical="center"/>
      <protection hidden="1"/>
    </xf>
    <xf numFmtId="0" fontId="3" fillId="2" borderId="31" xfId="0" applyFont="1" applyFill="1" applyBorder="1" applyAlignment="1" applyProtection="1">
      <alignment horizontal="center" vertical="center"/>
      <protection hidden="1"/>
    </xf>
    <xf numFmtId="0" fontId="3" fillId="2" borderId="30" xfId="0" applyFont="1" applyFill="1" applyBorder="1" applyAlignment="1" applyProtection="1">
      <alignment horizontal="center" vertical="center"/>
      <protection hidden="1"/>
    </xf>
    <xf numFmtId="0" fontId="9" fillId="2" borderId="21" xfId="0" applyFont="1" applyFill="1" applyBorder="1" applyAlignment="1">
      <alignment horizontal="center"/>
    </xf>
    <xf numFmtId="0" fontId="9" fillId="4" borderId="21" xfId="0" applyFont="1" applyFill="1" applyBorder="1" applyAlignment="1" applyProtection="1">
      <alignment horizontal="center" vertical="center" wrapText="1"/>
      <protection locked="0"/>
    </xf>
    <xf numFmtId="58" fontId="9" fillId="0" borderId="21" xfId="0" applyNumberFormat="1" applyFont="1" applyBorder="1" applyAlignment="1">
      <alignment horizontal="center" vertical="center"/>
    </xf>
    <xf numFmtId="14" fontId="9" fillId="0" borderId="21" xfId="0" applyNumberFormat="1" applyFont="1" applyBorder="1" applyAlignment="1">
      <alignment horizontal="center" vertical="center"/>
    </xf>
    <xf numFmtId="0" fontId="0" fillId="4" borderId="21" xfId="0" applyFill="1" applyBorder="1" applyAlignment="1" applyProtection="1">
      <alignment horizontal="center" vertical="center"/>
      <protection locked="0"/>
    </xf>
    <xf numFmtId="177" fontId="9" fillId="4" borderId="21" xfId="0" applyNumberFormat="1" applyFont="1" applyFill="1" applyBorder="1" applyAlignment="1" applyProtection="1">
      <alignment horizontal="center" vertical="center" shrinkToFit="1"/>
      <protection locked="0"/>
    </xf>
    <xf numFmtId="0" fontId="3" fillId="2" borderId="21" xfId="0" applyFont="1" applyFill="1" applyBorder="1" applyAlignment="1" applyProtection="1">
      <alignment horizontal="center" vertical="center"/>
      <protection hidden="1"/>
    </xf>
    <xf numFmtId="0" fontId="3" fillId="2" borderId="30" xfId="0" applyFont="1" applyFill="1" applyBorder="1" applyAlignment="1" applyProtection="1">
      <alignment horizontal="center" vertical="center" wrapText="1"/>
      <protection hidden="1"/>
    </xf>
    <xf numFmtId="0" fontId="3" fillId="0" borderId="0" xfId="0" applyFont="1" applyAlignment="1" applyProtection="1">
      <alignment horizontal="right" vertical="top"/>
      <protection hidden="1"/>
    </xf>
    <xf numFmtId="0" fontId="11" fillId="0" borderId="0" xfId="0" applyFont="1" applyProtection="1">
      <protection hidden="1"/>
    </xf>
    <xf numFmtId="0" fontId="4" fillId="0" borderId="0" xfId="0" applyFont="1" applyAlignment="1" applyProtection="1">
      <alignment horizontal="center" vertical="center"/>
      <protection hidden="1"/>
    </xf>
    <xf numFmtId="0" fontId="15" fillId="0" borderId="12" xfId="0" applyFont="1" applyBorder="1" applyAlignment="1" applyProtection="1">
      <alignment horizontal="right" vertical="center"/>
      <protection hidden="1"/>
    </xf>
    <xf numFmtId="0" fontId="3" fillId="4" borderId="16" xfId="0" applyFont="1" applyFill="1" applyBorder="1" applyAlignment="1" applyProtection="1">
      <alignment horizontal="center" shrinkToFit="1"/>
      <protection locked="0"/>
    </xf>
    <xf numFmtId="0" fontId="3" fillId="4" borderId="13" xfId="0" applyFont="1" applyFill="1" applyBorder="1" applyAlignment="1" applyProtection="1">
      <alignment horizontal="center" shrinkToFit="1"/>
      <protection locked="0"/>
    </xf>
    <xf numFmtId="0" fontId="3" fillId="4" borderId="29" xfId="0" applyFont="1" applyFill="1" applyBorder="1" applyAlignment="1" applyProtection="1">
      <alignment horizontal="center" shrinkToFit="1"/>
      <protection locked="0"/>
    </xf>
    <xf numFmtId="0" fontId="3" fillId="4" borderId="25" xfId="0" applyFont="1" applyFill="1" applyBorder="1" applyAlignment="1" applyProtection="1">
      <alignment horizontal="center" shrinkToFit="1"/>
      <protection locked="0"/>
    </xf>
    <xf numFmtId="0" fontId="3" fillId="4" borderId="9" xfId="0" applyFont="1" applyFill="1" applyBorder="1" applyAlignment="1" applyProtection="1">
      <alignment horizontal="center" shrinkToFit="1"/>
      <protection locked="0"/>
    </xf>
    <xf numFmtId="0" fontId="7" fillId="0" borderId="12" xfId="0" applyFont="1" applyBorder="1" applyAlignment="1" applyProtection="1">
      <alignment horizontal="right" vertical="center"/>
      <protection hidden="1"/>
    </xf>
    <xf numFmtId="0" fontId="3" fillId="4" borderId="14" xfId="0" applyFont="1" applyFill="1" applyBorder="1" applyAlignment="1" applyProtection="1">
      <alignment horizontal="center" shrinkToFit="1"/>
      <protection locked="0"/>
    </xf>
    <xf numFmtId="0" fontId="9" fillId="2" borderId="4" xfId="0" applyFont="1" applyFill="1" applyBorder="1" applyAlignment="1">
      <alignment horizontal="center"/>
    </xf>
    <xf numFmtId="0" fontId="9" fillId="2" borderId="31" xfId="0" applyFont="1" applyFill="1" applyBorder="1" applyAlignment="1">
      <alignment horizontal="center"/>
    </xf>
    <xf numFmtId="0" fontId="9" fillId="2" borderId="30" xfId="0" applyFont="1" applyFill="1" applyBorder="1" applyAlignment="1">
      <alignment horizontal="center"/>
    </xf>
    <xf numFmtId="58" fontId="9" fillId="0" borderId="16" xfId="0" applyNumberFormat="1" applyFont="1" applyBorder="1" applyAlignment="1">
      <alignment horizontal="center" vertical="center"/>
    </xf>
    <xf numFmtId="58" fontId="9" fillId="0" borderId="13" xfId="0" applyNumberFormat="1" applyFont="1" applyBorder="1" applyAlignment="1">
      <alignment horizontal="center" vertical="center"/>
    </xf>
    <xf numFmtId="58" fontId="9" fillId="0" borderId="14" xfId="0" applyNumberFormat="1" applyFont="1" applyBorder="1" applyAlignment="1">
      <alignment horizontal="center" vertical="center"/>
    </xf>
    <xf numFmtId="58" fontId="9" fillId="0" borderId="5" xfId="0" applyNumberFormat="1" applyFont="1" applyBorder="1" applyAlignment="1">
      <alignment horizontal="center" vertical="center"/>
    </xf>
    <xf numFmtId="58" fontId="9" fillId="0" borderId="0" xfId="0" applyNumberFormat="1" applyFont="1" applyAlignment="1">
      <alignment horizontal="center" vertical="center"/>
    </xf>
    <xf numFmtId="58" fontId="9" fillId="0" borderId="3" xfId="0" applyNumberFormat="1" applyFont="1" applyBorder="1" applyAlignment="1">
      <alignment horizontal="center" vertical="center"/>
    </xf>
    <xf numFmtId="58" fontId="9" fillId="0" borderId="17" xfId="0" applyNumberFormat="1" applyFont="1" applyBorder="1" applyAlignment="1">
      <alignment horizontal="center" vertical="center"/>
    </xf>
    <xf numFmtId="58" fontId="9" fillId="0" borderId="12" xfId="0" applyNumberFormat="1" applyFont="1" applyBorder="1" applyAlignment="1">
      <alignment horizontal="center" vertical="center"/>
    </xf>
    <xf numFmtId="58" fontId="9" fillId="0" borderId="15" xfId="0" applyNumberFormat="1" applyFont="1" applyBorder="1" applyAlignment="1">
      <alignment horizontal="center" vertical="center"/>
    </xf>
    <xf numFmtId="14" fontId="9" fillId="0" borderId="16" xfId="0" applyNumberFormat="1" applyFont="1" applyBorder="1" applyAlignment="1">
      <alignment horizontal="center" vertical="center"/>
    </xf>
    <xf numFmtId="14" fontId="9" fillId="0" borderId="13" xfId="0" applyNumberFormat="1" applyFont="1" applyBorder="1" applyAlignment="1">
      <alignment horizontal="center" vertical="center"/>
    </xf>
    <xf numFmtId="14" fontId="9" fillId="0" borderId="14" xfId="0" applyNumberFormat="1" applyFont="1" applyBorder="1" applyAlignment="1">
      <alignment horizontal="center" vertical="center"/>
    </xf>
    <xf numFmtId="14" fontId="9" fillId="0" borderId="5" xfId="0" applyNumberFormat="1" applyFont="1" applyBorder="1" applyAlignment="1">
      <alignment horizontal="center" vertical="center"/>
    </xf>
    <xf numFmtId="14" fontId="9" fillId="0" borderId="0" xfId="0" applyNumberFormat="1" applyFont="1" applyAlignment="1">
      <alignment horizontal="center" vertical="center"/>
    </xf>
    <xf numFmtId="14" fontId="9" fillId="0" borderId="3" xfId="0" applyNumberFormat="1" applyFont="1" applyBorder="1" applyAlignment="1">
      <alignment horizontal="center" vertical="center"/>
    </xf>
    <xf numFmtId="14" fontId="9" fillId="0" borderId="17" xfId="0" applyNumberFormat="1" applyFont="1" applyBorder="1" applyAlignment="1">
      <alignment horizontal="center" vertical="center"/>
    </xf>
    <xf numFmtId="14" fontId="9" fillId="0" borderId="12" xfId="0" applyNumberFormat="1" applyFont="1" applyBorder="1" applyAlignment="1">
      <alignment horizontal="center" vertical="center"/>
    </xf>
    <xf numFmtId="14" fontId="9" fillId="0" borderId="15" xfId="0" applyNumberFormat="1" applyFont="1" applyBorder="1" applyAlignment="1">
      <alignment horizontal="center" vertical="center"/>
    </xf>
    <xf numFmtId="0" fontId="0" fillId="4" borderId="16"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5" xfId="0" applyFill="1" applyBorder="1" applyAlignment="1">
      <alignment horizontal="center" vertical="center"/>
    </xf>
    <xf numFmtId="0" fontId="0" fillId="4" borderId="0" xfId="0" applyFill="1" applyAlignment="1">
      <alignment horizontal="center" vertical="center"/>
    </xf>
    <xf numFmtId="0" fontId="0" fillId="4" borderId="3" xfId="0" applyFill="1" applyBorder="1" applyAlignment="1">
      <alignment horizontal="center" vertical="center"/>
    </xf>
    <xf numFmtId="0" fontId="0" fillId="4" borderId="17" xfId="0" applyFill="1" applyBorder="1" applyAlignment="1">
      <alignment horizontal="center" vertical="center"/>
    </xf>
    <xf numFmtId="0" fontId="0" fillId="4" borderId="12" xfId="0" applyFill="1" applyBorder="1" applyAlignment="1">
      <alignment horizontal="center" vertical="center"/>
    </xf>
    <xf numFmtId="0" fontId="0" fillId="4" borderId="15" xfId="0" applyFill="1" applyBorder="1" applyAlignment="1">
      <alignment horizontal="center" vertical="center"/>
    </xf>
    <xf numFmtId="177" fontId="9" fillId="4" borderId="16" xfId="0" applyNumberFormat="1" applyFont="1" applyFill="1" applyBorder="1" applyAlignment="1" applyProtection="1">
      <alignment horizontal="center" vertical="center" shrinkToFit="1"/>
      <protection locked="0"/>
    </xf>
    <xf numFmtId="177" fontId="9" fillId="4" borderId="13" xfId="0" applyNumberFormat="1" applyFont="1" applyFill="1" applyBorder="1" applyAlignment="1" applyProtection="1">
      <alignment horizontal="center" vertical="center" shrinkToFit="1"/>
      <protection locked="0"/>
    </xf>
    <xf numFmtId="177" fontId="9" fillId="4" borderId="14" xfId="0" applyNumberFormat="1" applyFont="1" applyFill="1" applyBorder="1" applyAlignment="1" applyProtection="1">
      <alignment horizontal="center" vertical="center" shrinkToFit="1"/>
      <protection locked="0"/>
    </xf>
    <xf numFmtId="177" fontId="9" fillId="4" borderId="5" xfId="0" applyNumberFormat="1" applyFont="1" applyFill="1" applyBorder="1" applyAlignment="1" applyProtection="1">
      <alignment horizontal="center" vertical="center" shrinkToFit="1"/>
      <protection locked="0"/>
    </xf>
    <xf numFmtId="177" fontId="9" fillId="4" borderId="0" xfId="0" applyNumberFormat="1" applyFont="1" applyFill="1" applyAlignment="1" applyProtection="1">
      <alignment horizontal="center" vertical="center" shrinkToFit="1"/>
      <protection locked="0"/>
    </xf>
    <xf numFmtId="177" fontId="9" fillId="4" borderId="3" xfId="0" applyNumberFormat="1" applyFont="1" applyFill="1" applyBorder="1" applyAlignment="1" applyProtection="1">
      <alignment horizontal="center" vertical="center" shrinkToFit="1"/>
      <protection locked="0"/>
    </xf>
    <xf numFmtId="177" fontId="9" fillId="4" borderId="17" xfId="0" applyNumberFormat="1" applyFont="1" applyFill="1" applyBorder="1" applyAlignment="1" applyProtection="1">
      <alignment horizontal="center" vertical="center" shrinkToFit="1"/>
      <protection locked="0"/>
    </xf>
    <xf numFmtId="177" fontId="9" fillId="4" borderId="12" xfId="0" applyNumberFormat="1" applyFont="1" applyFill="1" applyBorder="1" applyAlignment="1" applyProtection="1">
      <alignment horizontal="center" vertical="center" shrinkToFit="1"/>
      <protection locked="0"/>
    </xf>
    <xf numFmtId="177" fontId="9" fillId="4" borderId="15" xfId="0" applyNumberFormat="1" applyFont="1" applyFill="1" applyBorder="1" applyAlignment="1" applyProtection="1">
      <alignment horizontal="center" vertical="center" shrinkToFit="1"/>
      <protection locked="0"/>
    </xf>
    <xf numFmtId="0" fontId="9" fillId="2" borderId="16"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3"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5" xfId="0" applyFont="1" applyFill="1" applyBorder="1" applyAlignment="1">
      <alignment horizontal="center" vertical="center"/>
    </xf>
  </cellXfs>
  <cellStyles count="3">
    <cellStyle name="桁区切り" xfId="1" builtinId="6"/>
    <cellStyle name="桁区切り 2" xfId="2" xr:uid="{00000000-0005-0000-0000-000001000000}"/>
    <cellStyle name="標準" xfId="0" builtinId="0"/>
  </cellStyles>
  <dxfs count="8">
    <dxf>
      <fill>
        <patternFill>
          <bgColor indexed="43"/>
        </patternFill>
      </fill>
    </dxf>
    <dxf>
      <fill>
        <patternFill patternType="none">
          <bgColor indexed="65"/>
        </patternFill>
      </fill>
    </dxf>
    <dxf>
      <font>
        <condense val="0"/>
        <extend val="0"/>
        <color indexed="9"/>
      </font>
    </dxf>
    <dxf>
      <font>
        <condense val="0"/>
        <extend val="0"/>
        <color auto="1"/>
      </font>
      <border>
        <left/>
        <right/>
        <top/>
        <bottom/>
      </border>
    </dxf>
    <dxf>
      <fill>
        <patternFill>
          <bgColor indexed="43"/>
        </patternFill>
      </fill>
    </dxf>
    <dxf>
      <fill>
        <patternFill patternType="none">
          <bgColor indexed="65"/>
        </patternFill>
      </fill>
    </dxf>
    <dxf>
      <font>
        <condense val="0"/>
        <extend val="0"/>
        <color indexed="9"/>
      </font>
    </dxf>
    <dxf>
      <font>
        <condense val="0"/>
        <extend val="0"/>
        <color auto="1"/>
      </font>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58522</xdr:colOff>
      <xdr:row>53</xdr:row>
      <xdr:rowOff>80467</xdr:rowOff>
    </xdr:from>
    <xdr:to>
      <xdr:col>11</xdr:col>
      <xdr:colOff>124358</xdr:colOff>
      <xdr:row>53</xdr:row>
      <xdr:rowOff>80467</xdr:rowOff>
    </xdr:to>
    <xdr:sp macro="" textlink="">
      <xdr:nvSpPr>
        <xdr:cNvPr id="2147" name="Line 11">
          <a:extLst>
            <a:ext uri="{FF2B5EF4-FFF2-40B4-BE49-F238E27FC236}">
              <a16:creationId xmlns:a16="http://schemas.microsoft.com/office/drawing/2014/main" id="{00000000-0008-0000-0000-000063080000}"/>
            </a:ext>
          </a:extLst>
        </xdr:cNvPr>
        <xdr:cNvSpPr>
          <a:spLocks noChangeShapeType="1"/>
        </xdr:cNvSpPr>
      </xdr:nvSpPr>
      <xdr:spPr bwMode="auto">
        <a:xfrm>
          <a:off x="629107" y="9348826"/>
          <a:ext cx="158739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58522</xdr:colOff>
      <xdr:row>53</xdr:row>
      <xdr:rowOff>80467</xdr:rowOff>
    </xdr:from>
    <xdr:to>
      <xdr:col>23</xdr:col>
      <xdr:colOff>124358</xdr:colOff>
      <xdr:row>53</xdr:row>
      <xdr:rowOff>80467</xdr:rowOff>
    </xdr:to>
    <xdr:sp macro="" textlink="">
      <xdr:nvSpPr>
        <xdr:cNvPr id="2148" name="Line 12">
          <a:extLst>
            <a:ext uri="{FF2B5EF4-FFF2-40B4-BE49-F238E27FC236}">
              <a16:creationId xmlns:a16="http://schemas.microsoft.com/office/drawing/2014/main" id="{00000000-0008-0000-0000-000064080000}"/>
            </a:ext>
          </a:extLst>
        </xdr:cNvPr>
        <xdr:cNvSpPr>
          <a:spLocks noChangeShapeType="1"/>
        </xdr:cNvSpPr>
      </xdr:nvSpPr>
      <xdr:spPr bwMode="auto">
        <a:xfrm>
          <a:off x="2984602" y="9348826"/>
          <a:ext cx="158739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58522</xdr:colOff>
      <xdr:row>53</xdr:row>
      <xdr:rowOff>80467</xdr:rowOff>
    </xdr:from>
    <xdr:to>
      <xdr:col>34</xdr:col>
      <xdr:colOff>124358</xdr:colOff>
      <xdr:row>53</xdr:row>
      <xdr:rowOff>80467</xdr:rowOff>
    </xdr:to>
    <xdr:sp macro="" textlink="">
      <xdr:nvSpPr>
        <xdr:cNvPr id="2149" name="Line 13">
          <a:extLst>
            <a:ext uri="{FF2B5EF4-FFF2-40B4-BE49-F238E27FC236}">
              <a16:creationId xmlns:a16="http://schemas.microsoft.com/office/drawing/2014/main" id="{00000000-0008-0000-0000-000065080000}"/>
            </a:ext>
          </a:extLst>
        </xdr:cNvPr>
        <xdr:cNvSpPr>
          <a:spLocks noChangeShapeType="1"/>
        </xdr:cNvSpPr>
      </xdr:nvSpPr>
      <xdr:spPr bwMode="auto">
        <a:xfrm>
          <a:off x="5076749" y="9348826"/>
          <a:ext cx="158739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58522</xdr:colOff>
      <xdr:row>59</xdr:row>
      <xdr:rowOff>80467</xdr:rowOff>
    </xdr:from>
    <xdr:to>
      <xdr:col>12</xdr:col>
      <xdr:colOff>124358</xdr:colOff>
      <xdr:row>59</xdr:row>
      <xdr:rowOff>80467</xdr:rowOff>
    </xdr:to>
    <xdr:sp macro="" textlink="">
      <xdr:nvSpPr>
        <xdr:cNvPr id="4271" name="Line 3">
          <a:extLst>
            <a:ext uri="{FF2B5EF4-FFF2-40B4-BE49-F238E27FC236}">
              <a16:creationId xmlns:a16="http://schemas.microsoft.com/office/drawing/2014/main" id="{00000000-0008-0000-0100-0000AF100000}"/>
            </a:ext>
          </a:extLst>
        </xdr:cNvPr>
        <xdr:cNvSpPr>
          <a:spLocks noChangeShapeType="1"/>
        </xdr:cNvSpPr>
      </xdr:nvSpPr>
      <xdr:spPr bwMode="auto">
        <a:xfrm>
          <a:off x="1287475" y="10116922"/>
          <a:ext cx="158739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58522</xdr:colOff>
      <xdr:row>59</xdr:row>
      <xdr:rowOff>80467</xdr:rowOff>
    </xdr:from>
    <xdr:to>
      <xdr:col>24</xdr:col>
      <xdr:colOff>124358</xdr:colOff>
      <xdr:row>59</xdr:row>
      <xdr:rowOff>80467</xdr:rowOff>
    </xdr:to>
    <xdr:sp macro="" textlink="">
      <xdr:nvSpPr>
        <xdr:cNvPr id="4272" name="Line 4">
          <a:extLst>
            <a:ext uri="{FF2B5EF4-FFF2-40B4-BE49-F238E27FC236}">
              <a16:creationId xmlns:a16="http://schemas.microsoft.com/office/drawing/2014/main" id="{00000000-0008-0000-0100-0000B0100000}"/>
            </a:ext>
          </a:extLst>
        </xdr:cNvPr>
        <xdr:cNvSpPr>
          <a:spLocks noChangeShapeType="1"/>
        </xdr:cNvSpPr>
      </xdr:nvSpPr>
      <xdr:spPr bwMode="auto">
        <a:xfrm>
          <a:off x="3569818" y="10116922"/>
          <a:ext cx="158739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58522</xdr:colOff>
      <xdr:row>59</xdr:row>
      <xdr:rowOff>80467</xdr:rowOff>
    </xdr:from>
    <xdr:to>
      <xdr:col>35</xdr:col>
      <xdr:colOff>124358</xdr:colOff>
      <xdr:row>59</xdr:row>
      <xdr:rowOff>80467</xdr:rowOff>
    </xdr:to>
    <xdr:sp macro="" textlink="">
      <xdr:nvSpPr>
        <xdr:cNvPr id="4273" name="Line 5">
          <a:extLst>
            <a:ext uri="{FF2B5EF4-FFF2-40B4-BE49-F238E27FC236}">
              <a16:creationId xmlns:a16="http://schemas.microsoft.com/office/drawing/2014/main" id="{00000000-0008-0000-0100-0000B1100000}"/>
            </a:ext>
          </a:extLst>
        </xdr:cNvPr>
        <xdr:cNvSpPr>
          <a:spLocks noChangeShapeType="1"/>
        </xdr:cNvSpPr>
      </xdr:nvSpPr>
      <xdr:spPr bwMode="auto">
        <a:xfrm>
          <a:off x="5661965" y="10116922"/>
          <a:ext cx="158739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3</xdr:row>
      <xdr:rowOff>66675</xdr:rowOff>
    </xdr:from>
    <xdr:to>
      <xdr:col>1</xdr:col>
      <xdr:colOff>176435</xdr:colOff>
      <xdr:row>7</xdr:row>
      <xdr:rowOff>142875</xdr:rowOff>
    </xdr:to>
    <xdr:sp macro="" textlink="">
      <xdr:nvSpPr>
        <xdr:cNvPr id="4104" name="AutoShape 8">
          <a:extLst>
            <a:ext uri="{FF2B5EF4-FFF2-40B4-BE49-F238E27FC236}">
              <a16:creationId xmlns:a16="http://schemas.microsoft.com/office/drawing/2014/main" id="{00000000-0008-0000-0100-000008100000}"/>
            </a:ext>
          </a:extLst>
        </xdr:cNvPr>
        <xdr:cNvSpPr>
          <a:spLocks/>
        </xdr:cNvSpPr>
      </xdr:nvSpPr>
      <xdr:spPr bwMode="auto">
        <a:xfrm>
          <a:off x="0" y="695325"/>
          <a:ext cx="866775" cy="704850"/>
        </a:xfrm>
        <a:prstGeom prst="borderCallout2">
          <a:avLst>
            <a:gd name="adj1" fmla="val 16218"/>
            <a:gd name="adj2" fmla="val 108792"/>
            <a:gd name="adj3" fmla="val 16218"/>
            <a:gd name="adj4" fmla="val 172528"/>
            <a:gd name="adj5" fmla="val 94593"/>
            <a:gd name="adj6" fmla="val 24065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r>
            <a:rPr lang="ja-JP" altLang="en-US" sz="1000" b="0" i="0" strike="noStrike">
              <a:solidFill>
                <a:srgbClr val="000000"/>
              </a:solidFill>
              <a:latin typeface="ＭＳ Ｐゴシック"/>
              <a:ea typeface="ＭＳ Ｐゴシック"/>
            </a:rPr>
            <a:t>目的・交通手段は、プルダウンから選択して下さい。</a:t>
          </a:r>
        </a:p>
      </xdr:txBody>
    </xdr:sp>
    <xdr:clientData/>
  </xdr:twoCellAnchor>
  <xdr:twoCellAnchor>
    <xdr:from>
      <xdr:col>1</xdr:col>
      <xdr:colOff>93039</xdr:colOff>
      <xdr:row>16</xdr:row>
      <xdr:rowOff>57150</xdr:rowOff>
    </xdr:from>
    <xdr:to>
      <xdr:col>13</xdr:col>
      <xdr:colOff>131168</xdr:colOff>
      <xdr:row>27</xdr:row>
      <xdr:rowOff>152400</xdr:rowOff>
    </xdr:to>
    <xdr:sp macro="" textlink="">
      <xdr:nvSpPr>
        <xdr:cNvPr id="4106" name="AutoShape 10">
          <a:extLst>
            <a:ext uri="{FF2B5EF4-FFF2-40B4-BE49-F238E27FC236}">
              <a16:creationId xmlns:a16="http://schemas.microsoft.com/office/drawing/2014/main" id="{00000000-0008-0000-0100-00000A100000}"/>
            </a:ext>
          </a:extLst>
        </xdr:cNvPr>
        <xdr:cNvSpPr>
          <a:spLocks/>
        </xdr:cNvSpPr>
      </xdr:nvSpPr>
      <xdr:spPr bwMode="auto">
        <a:xfrm>
          <a:off x="781050" y="2914650"/>
          <a:ext cx="2438400" cy="2085975"/>
        </a:xfrm>
        <a:prstGeom prst="borderCallout2">
          <a:avLst>
            <a:gd name="adj1" fmla="val 5481"/>
            <a:gd name="adj2" fmla="val 103125"/>
            <a:gd name="adj3" fmla="val 5481"/>
            <a:gd name="adj4" fmla="val 132421"/>
            <a:gd name="adj5" fmla="val -63472"/>
            <a:gd name="adj6" fmla="val 157032"/>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r>
            <a:rPr lang="ja-JP" altLang="en-US" sz="1000" b="0" i="0" strike="noStrike">
              <a:solidFill>
                <a:srgbClr val="000000"/>
              </a:solidFill>
              <a:latin typeface="ＭＳ Ｐゴシック"/>
              <a:ea typeface="ＭＳ Ｐゴシック"/>
            </a:rPr>
            <a:t>■経路</a:t>
          </a:r>
        </a:p>
        <a:p>
          <a:pPr algn="l" rtl="0">
            <a:lnSpc>
              <a:spcPts val="1200"/>
            </a:lnSpc>
            <a:defRPr sz="1000"/>
          </a:pPr>
          <a:r>
            <a:rPr lang="ja-JP" altLang="en-US" sz="1000" b="0" i="0" strike="noStrike">
              <a:solidFill>
                <a:srgbClr val="000000"/>
              </a:solidFill>
              <a:latin typeface="ＭＳ Ｐゴシック"/>
              <a:ea typeface="ＭＳ Ｐゴシック"/>
            </a:rPr>
            <a:t>◇電車の場合</a:t>
          </a:r>
        </a:p>
        <a:p>
          <a:pPr algn="l" rtl="0">
            <a:lnSpc>
              <a:spcPts val="1100"/>
            </a:lnSpc>
            <a:defRPr sz="1000"/>
          </a:pPr>
          <a:r>
            <a:rPr lang="ja-JP" altLang="en-US" sz="1000" b="0" i="0" strike="noStrike">
              <a:solidFill>
                <a:srgbClr val="000000"/>
              </a:solidFill>
              <a:latin typeface="ＭＳ Ｐゴシック"/>
              <a:ea typeface="ＭＳ Ｐゴシック"/>
            </a:rPr>
            <a:t>　→上の段：駅名を入力して下さい。</a:t>
          </a:r>
        </a:p>
        <a:p>
          <a:pPr algn="l" rtl="0">
            <a:lnSpc>
              <a:spcPts val="1200"/>
            </a:lnSpc>
            <a:defRPr sz="1000"/>
          </a:pPr>
          <a:r>
            <a:rPr lang="ja-JP" altLang="en-US" sz="1000" b="0" i="0" strike="noStrike">
              <a:solidFill>
                <a:srgbClr val="000000"/>
              </a:solidFill>
              <a:latin typeface="ＭＳ Ｐゴシック"/>
              <a:ea typeface="ＭＳ Ｐゴシック"/>
            </a:rPr>
            <a:t>　→下の段：鉄道会社名を入力して下さい。</a:t>
          </a:r>
        </a:p>
        <a:p>
          <a:pPr algn="l" rtl="0">
            <a:lnSpc>
              <a:spcPts val="1100"/>
            </a:lnSpc>
            <a:defRPr sz="1000"/>
          </a:pPr>
          <a:r>
            <a:rPr lang="ja-JP" altLang="en-US" sz="1000" b="0" i="0" strike="noStrike">
              <a:solidFill>
                <a:srgbClr val="000000"/>
              </a:solidFill>
              <a:latin typeface="ＭＳ Ｐゴシック"/>
              <a:ea typeface="ＭＳ Ｐゴシック"/>
            </a:rPr>
            <a:t>◇バスの場合</a:t>
          </a:r>
        </a:p>
        <a:p>
          <a:pPr algn="l" rtl="0">
            <a:lnSpc>
              <a:spcPts val="1200"/>
            </a:lnSpc>
            <a:defRPr sz="1000"/>
          </a:pPr>
          <a:r>
            <a:rPr lang="ja-JP" altLang="en-US" sz="1000" b="0" i="0" strike="noStrike">
              <a:solidFill>
                <a:srgbClr val="000000"/>
              </a:solidFill>
              <a:latin typeface="ＭＳ Ｐゴシック"/>
              <a:ea typeface="ＭＳ Ｐゴシック"/>
            </a:rPr>
            <a:t>　→上の段：停留所名を入力して下さい。</a:t>
          </a:r>
        </a:p>
        <a:p>
          <a:pPr algn="l" rtl="0">
            <a:lnSpc>
              <a:spcPts val="1100"/>
            </a:lnSpc>
            <a:defRPr sz="1000"/>
          </a:pPr>
          <a:r>
            <a:rPr lang="ja-JP" altLang="en-US" sz="1000" b="0" i="0" strike="noStrike">
              <a:solidFill>
                <a:srgbClr val="000000"/>
              </a:solidFill>
              <a:latin typeface="ＭＳ Ｐゴシック"/>
              <a:ea typeface="ＭＳ Ｐゴシック"/>
            </a:rPr>
            <a:t>　→下の段：バス会社名を入力して下さい。</a:t>
          </a:r>
        </a:p>
        <a:p>
          <a:pPr algn="l" rtl="0">
            <a:lnSpc>
              <a:spcPts val="1200"/>
            </a:lnSpc>
            <a:defRPr sz="1000"/>
          </a:pPr>
          <a:r>
            <a:rPr lang="ja-JP" altLang="en-US" sz="1000" b="0" i="0" strike="noStrike">
              <a:solidFill>
                <a:srgbClr val="000000"/>
              </a:solidFill>
              <a:latin typeface="ＭＳ Ｐゴシック"/>
              <a:ea typeface="ＭＳ Ｐゴシック"/>
            </a:rPr>
            <a:t>◇タクシーの場合</a:t>
          </a:r>
        </a:p>
        <a:p>
          <a:pPr algn="l" rtl="0">
            <a:lnSpc>
              <a:spcPts val="1100"/>
            </a:lnSpc>
            <a:defRPr sz="1000"/>
          </a:pPr>
          <a:r>
            <a:rPr lang="ja-JP" altLang="en-US" sz="1000" b="0" i="0" strike="noStrike">
              <a:solidFill>
                <a:srgbClr val="000000"/>
              </a:solidFill>
              <a:latin typeface="ＭＳ Ｐゴシック"/>
              <a:ea typeface="ＭＳ Ｐゴシック"/>
            </a:rPr>
            <a:t>　→上の段：出発</a:t>
          </a:r>
          <a:r>
            <a:rPr lang="en-US" altLang="ja-JP" sz="1000" b="0" i="0" strike="noStrike">
              <a:solidFill>
                <a:srgbClr val="000000"/>
              </a:solidFill>
              <a:latin typeface="ＭＳ Ｐゴシック"/>
              <a:ea typeface="ＭＳ Ｐゴシック"/>
            </a:rPr>
            <a:t>/</a:t>
          </a:r>
          <a:r>
            <a:rPr lang="ja-JP" altLang="en-US" sz="1000" b="0" i="0" strike="noStrike">
              <a:solidFill>
                <a:srgbClr val="000000"/>
              </a:solidFill>
              <a:latin typeface="ＭＳ Ｐゴシック"/>
              <a:ea typeface="ＭＳ Ｐゴシック"/>
            </a:rPr>
            <a:t>到着地点を入力して下さい。</a:t>
          </a:r>
        </a:p>
        <a:p>
          <a:pPr algn="l" rtl="0">
            <a:lnSpc>
              <a:spcPts val="1200"/>
            </a:lnSpc>
            <a:defRPr sz="1000"/>
          </a:pPr>
          <a:r>
            <a:rPr lang="ja-JP" altLang="en-US" sz="1000" b="0" i="0" strike="noStrike">
              <a:solidFill>
                <a:srgbClr val="000000"/>
              </a:solidFill>
              <a:latin typeface="ＭＳ Ｐゴシック"/>
              <a:ea typeface="ＭＳ Ｐゴシック"/>
            </a:rPr>
            <a:t>　→下の段：入力しないで下さい。</a:t>
          </a:r>
        </a:p>
      </xdr:txBody>
    </xdr:sp>
    <xdr:clientData/>
  </xdr:twoCellAnchor>
  <xdr:twoCellAnchor>
    <xdr:from>
      <xdr:col>39</xdr:col>
      <xdr:colOff>83514</xdr:colOff>
      <xdr:row>0</xdr:row>
      <xdr:rowOff>104775</xdr:rowOff>
    </xdr:from>
    <xdr:to>
      <xdr:col>47</xdr:col>
      <xdr:colOff>121657</xdr:colOff>
      <xdr:row>4</xdr:row>
      <xdr:rowOff>9525</xdr:rowOff>
    </xdr:to>
    <xdr:sp macro="" textlink="">
      <xdr:nvSpPr>
        <xdr:cNvPr id="4107" name="AutoShape 11">
          <a:extLst>
            <a:ext uri="{FF2B5EF4-FFF2-40B4-BE49-F238E27FC236}">
              <a16:creationId xmlns:a16="http://schemas.microsoft.com/office/drawing/2014/main" id="{00000000-0008-0000-0100-00000B100000}"/>
            </a:ext>
          </a:extLst>
        </xdr:cNvPr>
        <xdr:cNvSpPr>
          <a:spLocks/>
        </xdr:cNvSpPr>
      </xdr:nvSpPr>
      <xdr:spPr bwMode="auto">
        <a:xfrm>
          <a:off x="8372475" y="104775"/>
          <a:ext cx="1638300" cy="704850"/>
        </a:xfrm>
        <a:prstGeom prst="borderCallout2">
          <a:avLst>
            <a:gd name="adj1" fmla="val 16218"/>
            <a:gd name="adj2" fmla="val -4653"/>
            <a:gd name="adj3" fmla="val 16218"/>
            <a:gd name="adj4" fmla="val -115116"/>
            <a:gd name="adj5" fmla="val 82431"/>
            <a:gd name="adj6" fmla="val -204069"/>
          </a:avLst>
        </a:prstGeom>
        <a:noFill/>
        <a:ln w="9525" algn="ctr">
          <a:solidFill>
            <a:srgbClr val="000000"/>
          </a:solidFill>
          <a:miter lim="800000"/>
          <a:headEnd/>
          <a:tailEnd/>
        </a:ln>
        <a:effectLst/>
      </xdr:spPr>
      <xdr:txBody>
        <a:bodyPr vertOverflow="clip" wrap="square" lIns="27432" tIns="18288" rIns="0" bIns="0" anchor="t" upright="1"/>
        <a:lstStyle/>
        <a:p>
          <a:pPr algn="l" rtl="0">
            <a:lnSpc>
              <a:spcPts val="1100"/>
            </a:lnSpc>
            <a:defRPr sz="1000"/>
          </a:pPr>
          <a:r>
            <a:rPr lang="ja-JP" altLang="en-US" sz="1000" b="0" i="0" strike="noStrike">
              <a:solidFill>
                <a:srgbClr val="000000"/>
              </a:solidFill>
              <a:latin typeface="ＭＳ Ｐゴシック"/>
              <a:ea typeface="ＭＳ Ｐゴシック"/>
            </a:rPr>
            <a:t>起票者の所属部門、社員番号、氏名を入力して下さい。</a:t>
          </a:r>
        </a:p>
      </xdr:txBody>
    </xdr:sp>
    <xdr:clientData/>
  </xdr:twoCellAnchor>
  <xdr:twoCellAnchor>
    <xdr:from>
      <xdr:col>39</xdr:col>
      <xdr:colOff>102565</xdr:colOff>
      <xdr:row>14</xdr:row>
      <xdr:rowOff>93040</xdr:rowOff>
    </xdr:from>
    <xdr:to>
      <xdr:col>47</xdr:col>
      <xdr:colOff>233751</xdr:colOff>
      <xdr:row>18</xdr:row>
      <xdr:rowOff>19142</xdr:rowOff>
    </xdr:to>
    <xdr:sp macro="" textlink="">
      <xdr:nvSpPr>
        <xdr:cNvPr id="4108" name="AutoShape 12">
          <a:extLst>
            <a:ext uri="{FF2B5EF4-FFF2-40B4-BE49-F238E27FC236}">
              <a16:creationId xmlns:a16="http://schemas.microsoft.com/office/drawing/2014/main" id="{00000000-0008-0000-0100-00000C100000}"/>
            </a:ext>
          </a:extLst>
        </xdr:cNvPr>
        <xdr:cNvSpPr>
          <a:spLocks/>
        </xdr:cNvSpPr>
      </xdr:nvSpPr>
      <xdr:spPr bwMode="auto">
        <a:xfrm>
          <a:off x="8391525" y="2581275"/>
          <a:ext cx="1733550" cy="657225"/>
        </a:xfrm>
        <a:prstGeom prst="borderCallout2">
          <a:avLst>
            <a:gd name="adj1" fmla="val 17394"/>
            <a:gd name="adj2" fmla="val -4394"/>
            <a:gd name="adj3" fmla="val 17394"/>
            <a:gd name="adj4" fmla="val -54944"/>
            <a:gd name="adj5" fmla="val -155074"/>
            <a:gd name="adj6" fmla="val -9340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r>
            <a:rPr lang="ja-JP" altLang="en-US" sz="1000" b="0" i="0" strike="noStrike">
              <a:solidFill>
                <a:srgbClr val="000000"/>
              </a:solidFill>
              <a:latin typeface="ＭＳ Ｐゴシック"/>
              <a:ea typeface="ＭＳ Ｐゴシック"/>
            </a:rPr>
            <a:t>■往復</a:t>
          </a:r>
        </a:p>
        <a:p>
          <a:pPr algn="l" rtl="0">
            <a:lnSpc>
              <a:spcPts val="1100"/>
            </a:lnSpc>
            <a:defRPr sz="1000"/>
          </a:pPr>
          <a:r>
            <a:rPr lang="ja-JP" altLang="en-US" sz="1000" b="0" i="0" strike="noStrike">
              <a:solidFill>
                <a:srgbClr val="000000"/>
              </a:solidFill>
              <a:latin typeface="ＭＳ Ｐゴシック"/>
              <a:ea typeface="ＭＳ Ｐゴシック"/>
            </a:rPr>
            <a:t>電車・バスで同じ経路を往復した</a:t>
          </a:r>
        </a:p>
        <a:p>
          <a:pPr algn="l" rtl="0">
            <a:lnSpc>
              <a:spcPts val="1200"/>
            </a:lnSpc>
            <a:defRPr sz="1000"/>
          </a:pPr>
          <a:r>
            <a:rPr lang="ja-JP" altLang="en-US" sz="1000" b="0" i="0" strike="noStrike">
              <a:solidFill>
                <a:srgbClr val="000000"/>
              </a:solidFill>
              <a:latin typeface="ＭＳ Ｐゴシック"/>
              <a:ea typeface="ＭＳ Ｐゴシック"/>
            </a:rPr>
            <a:t>場合は</a:t>
          </a:r>
          <a:r>
            <a:rPr lang="en-US" altLang="ja-JP" sz="1000" b="0" i="0" strike="noStrike">
              <a:solidFill>
                <a:srgbClr val="000000"/>
              </a:solidFill>
              <a:latin typeface="ＭＳ Ｐゴシック"/>
              <a:ea typeface="ＭＳ Ｐゴシック"/>
            </a:rPr>
            <a:t>『●』</a:t>
          </a:r>
          <a:r>
            <a:rPr lang="ja-JP" altLang="en-US" sz="1000" b="0" i="0" strike="noStrike">
              <a:solidFill>
                <a:srgbClr val="000000"/>
              </a:solidFill>
              <a:latin typeface="ＭＳ Ｐゴシック"/>
              <a:ea typeface="ＭＳ Ｐゴシック"/>
            </a:rPr>
            <a:t>を選択して下さい。</a:t>
          </a:r>
        </a:p>
      </xdr:txBody>
    </xdr:sp>
    <xdr:clientData/>
  </xdr:twoCellAnchor>
  <xdr:twoCellAnchor>
    <xdr:from>
      <xdr:col>39</xdr:col>
      <xdr:colOff>102565</xdr:colOff>
      <xdr:row>5</xdr:row>
      <xdr:rowOff>28575</xdr:rowOff>
    </xdr:from>
    <xdr:to>
      <xdr:col>48</xdr:col>
      <xdr:colOff>35890</xdr:colOff>
      <xdr:row>13</xdr:row>
      <xdr:rowOff>133350</xdr:rowOff>
    </xdr:to>
    <xdr:sp macro="" textlink="">
      <xdr:nvSpPr>
        <xdr:cNvPr id="4109" name="AutoShape 13">
          <a:extLst>
            <a:ext uri="{FF2B5EF4-FFF2-40B4-BE49-F238E27FC236}">
              <a16:creationId xmlns:a16="http://schemas.microsoft.com/office/drawing/2014/main" id="{00000000-0008-0000-0100-00000D100000}"/>
            </a:ext>
          </a:extLst>
        </xdr:cNvPr>
        <xdr:cNvSpPr>
          <a:spLocks/>
        </xdr:cNvSpPr>
      </xdr:nvSpPr>
      <xdr:spPr bwMode="auto">
        <a:xfrm>
          <a:off x="8391525" y="981075"/>
          <a:ext cx="1895475" cy="1466850"/>
        </a:xfrm>
        <a:prstGeom prst="borderCallout2">
          <a:avLst>
            <a:gd name="adj1" fmla="val 7792"/>
            <a:gd name="adj2" fmla="val -4019"/>
            <a:gd name="adj3" fmla="val 7792"/>
            <a:gd name="adj4" fmla="val -11556"/>
            <a:gd name="adj5" fmla="val 40907"/>
            <a:gd name="adj6" fmla="val -1959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1200"/>
            </a:lnSpc>
            <a:defRPr sz="1000"/>
          </a:pPr>
          <a:r>
            <a:rPr lang="ja-JP" altLang="en-US" sz="1000" b="0" i="0" strike="noStrike">
              <a:solidFill>
                <a:srgbClr val="000000"/>
              </a:solidFill>
              <a:latin typeface="ＭＳ Ｐゴシック"/>
              <a:ea typeface="ＭＳ Ｐゴシック"/>
            </a:rPr>
            <a:t>■領収証について</a:t>
          </a:r>
        </a:p>
        <a:p>
          <a:pPr algn="l" rtl="0">
            <a:lnSpc>
              <a:spcPts val="1200"/>
            </a:lnSpc>
            <a:defRPr sz="1000"/>
          </a:pPr>
          <a:r>
            <a:rPr lang="ja-JP" altLang="en-US" sz="1000" b="0" i="0" strike="noStrike">
              <a:solidFill>
                <a:srgbClr val="000000"/>
              </a:solidFill>
              <a:latin typeface="ＭＳ Ｐゴシック"/>
              <a:ea typeface="ＭＳ Ｐゴシック"/>
            </a:rPr>
            <a:t>◇電車・バスの場合</a:t>
          </a:r>
        </a:p>
        <a:p>
          <a:pPr algn="l" rtl="0">
            <a:lnSpc>
              <a:spcPts val="1200"/>
            </a:lnSpc>
            <a:defRPr sz="1000"/>
          </a:pPr>
          <a:r>
            <a:rPr lang="ja-JP" altLang="en-US" sz="1000" b="0" i="0" strike="noStrike">
              <a:solidFill>
                <a:srgbClr val="000000"/>
              </a:solidFill>
              <a:latin typeface="ＭＳ Ｐゴシック"/>
              <a:ea typeface="ＭＳ Ｐゴシック"/>
            </a:rPr>
            <a:t>　→１区間の片道金額が</a:t>
          </a:r>
          <a:r>
            <a:rPr lang="en-US" altLang="ja-JP" sz="1000" b="0" i="0" strike="noStrike">
              <a:solidFill>
                <a:srgbClr val="000000"/>
              </a:solidFill>
              <a:latin typeface="ＭＳ Ｐゴシック"/>
              <a:ea typeface="ＭＳ Ｐゴシック"/>
            </a:rPr>
            <a:t>3,000</a:t>
          </a:r>
          <a:r>
            <a:rPr lang="ja-JP" altLang="en-US" sz="1000" b="0" i="0" strike="noStrike">
              <a:solidFill>
                <a:srgbClr val="000000"/>
              </a:solidFill>
              <a:latin typeface="ＭＳ Ｐゴシック"/>
              <a:ea typeface="ＭＳ Ｐゴシック"/>
            </a:rPr>
            <a:t>円以上の場合は必ず領収証を添付して下さい。</a:t>
          </a:r>
        </a:p>
        <a:p>
          <a:pPr algn="l" rtl="0">
            <a:lnSpc>
              <a:spcPts val="1200"/>
            </a:lnSpc>
            <a:defRPr sz="1000"/>
          </a:pPr>
          <a:r>
            <a:rPr lang="ja-JP" altLang="en-US" sz="1000" b="0" i="0" strike="noStrike">
              <a:solidFill>
                <a:srgbClr val="000000"/>
              </a:solidFill>
              <a:latin typeface="ＭＳ Ｐゴシック"/>
              <a:ea typeface="ＭＳ Ｐゴシック"/>
            </a:rPr>
            <a:t>◇タクシーの場合</a:t>
          </a:r>
        </a:p>
        <a:p>
          <a:pPr algn="l" rtl="0">
            <a:lnSpc>
              <a:spcPts val="1200"/>
            </a:lnSpc>
            <a:defRPr sz="1000"/>
          </a:pPr>
          <a:r>
            <a:rPr lang="ja-JP" altLang="en-US" sz="1000" b="0" i="0" strike="noStrike">
              <a:solidFill>
                <a:srgbClr val="000000"/>
              </a:solidFill>
              <a:latin typeface="ＭＳ Ｐゴシック"/>
              <a:ea typeface="ＭＳ Ｐゴシック"/>
            </a:rPr>
            <a:t>　→必ず領収証を添付して下さい。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BI61"/>
  <sheetViews>
    <sheetView showGridLines="0" showZeros="0" tabSelected="1" view="pageBreakPreview" zoomScaleNormal="100" workbookViewId="0">
      <selection sqref="A1:C1"/>
    </sheetView>
  </sheetViews>
  <sheetFormatPr defaultColWidth="9" defaultRowHeight="3.9" customHeight="1" x14ac:dyDescent="0.2"/>
  <cols>
    <col min="1" max="12" width="2.5546875" style="12" customWidth="1"/>
    <col min="13" max="13" width="3.5546875" style="12" customWidth="1"/>
    <col min="14" max="46" width="2.5546875" style="12" customWidth="1"/>
    <col min="47" max="47" width="4.88671875" style="12" bestFit="1" customWidth="1"/>
    <col min="48" max="60" width="2.5546875" style="12" customWidth="1"/>
    <col min="61" max="16384" width="9" style="12"/>
  </cols>
  <sheetData>
    <row r="1" spans="1:56" ht="24.15" customHeight="1" x14ac:dyDescent="0.2">
      <c r="A1" s="191"/>
      <c r="B1" s="191"/>
      <c r="C1" s="191"/>
      <c r="D1" s="192" t="s">
        <v>24</v>
      </c>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0"/>
      <c r="AK1" s="190"/>
      <c r="AL1" s="190"/>
      <c r="AM1" s="190"/>
      <c r="AN1" s="190"/>
      <c r="AO1" s="190"/>
      <c r="AP1" s="190"/>
      <c r="AQ1" s="190" t="str">
        <f>IF(会社名="サン・ジャパン", "JP", IF(会社名="SJホールディングス", "HD", ""))</f>
        <v/>
      </c>
      <c r="AR1" s="190"/>
    </row>
    <row r="2" spans="1:56" s="13" customFormat="1" ht="12" customHeight="1" x14ac:dyDescent="0.2">
      <c r="A2" s="193" t="s">
        <v>61</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9"/>
      <c r="AN2" s="9"/>
      <c r="AO2" s="9"/>
      <c r="AP2" s="9"/>
      <c r="AQ2" s="9"/>
      <c r="AR2" s="9"/>
    </row>
    <row r="3" spans="1:56" s="14" customFormat="1" ht="13.65" customHeight="1" x14ac:dyDescent="0.15">
      <c r="A3" s="182" t="s">
        <v>12</v>
      </c>
      <c r="B3" s="182"/>
      <c r="C3" s="182"/>
      <c r="D3" s="182" t="s">
        <v>13</v>
      </c>
      <c r="E3" s="182"/>
      <c r="F3" s="182"/>
      <c r="G3" s="177" t="s">
        <v>19</v>
      </c>
      <c r="H3" s="177"/>
      <c r="I3" s="177"/>
      <c r="J3" s="182" t="s">
        <v>20</v>
      </c>
      <c r="K3" s="182"/>
      <c r="L3" s="182"/>
      <c r="M3" s="182"/>
      <c r="N3" s="182" t="s">
        <v>21</v>
      </c>
      <c r="O3" s="182"/>
      <c r="P3" s="182"/>
      <c r="Q3" s="182"/>
      <c r="R3" s="182"/>
      <c r="S3" s="182" t="s">
        <v>22</v>
      </c>
      <c r="T3" s="182"/>
      <c r="U3" s="182"/>
      <c r="V3" s="182"/>
      <c r="W3" s="182"/>
      <c r="X3" s="182"/>
      <c r="Y3" s="182"/>
      <c r="Z3" s="182"/>
      <c r="AA3" s="182"/>
      <c r="AB3" s="182"/>
      <c r="AC3" s="182"/>
      <c r="AD3" s="182"/>
      <c r="AE3" s="182"/>
      <c r="AF3" s="182"/>
      <c r="AG3" s="182" t="s">
        <v>17</v>
      </c>
      <c r="AH3" s="182"/>
      <c r="AI3" s="182"/>
      <c r="AJ3" s="182"/>
      <c r="AK3" s="182"/>
      <c r="AL3" s="182"/>
    </row>
    <row r="4" spans="1:56" s="14" customFormat="1" ht="13.65" customHeight="1" x14ac:dyDescent="0.15">
      <c r="A4" s="178"/>
      <c r="B4" s="178"/>
      <c r="C4" s="178"/>
      <c r="D4" s="178"/>
      <c r="E4" s="178"/>
      <c r="F4" s="178"/>
      <c r="G4" s="177"/>
      <c r="H4" s="177"/>
      <c r="I4" s="177"/>
      <c r="J4" s="183"/>
      <c r="K4" s="183"/>
      <c r="L4" s="183"/>
      <c r="M4" s="183"/>
      <c r="N4" s="187"/>
      <c r="O4" s="187"/>
      <c r="P4" s="187"/>
      <c r="Q4" s="187"/>
      <c r="R4" s="187"/>
      <c r="S4" s="186"/>
      <c r="T4" s="186"/>
      <c r="U4" s="186"/>
      <c r="V4" s="186"/>
      <c r="W4" s="186"/>
      <c r="X4" s="186"/>
      <c r="Y4" s="186"/>
      <c r="Z4" s="186"/>
      <c r="AA4" s="186"/>
      <c r="AB4" s="186"/>
      <c r="AC4" s="186"/>
      <c r="AD4" s="184" t="s">
        <v>23</v>
      </c>
      <c r="AE4" s="184"/>
      <c r="AF4" s="184"/>
      <c r="AG4" s="185">
        <f ca="1">NOW()</f>
        <v>45761.591303819441</v>
      </c>
      <c r="AH4" s="185"/>
      <c r="AI4" s="185"/>
      <c r="AJ4" s="185"/>
      <c r="AK4" s="185"/>
      <c r="AL4" s="185"/>
    </row>
    <row r="5" spans="1:56" s="14" customFormat="1" ht="12" x14ac:dyDescent="0.15">
      <c r="A5" s="178"/>
      <c r="B5" s="178"/>
      <c r="C5" s="178"/>
      <c r="D5" s="178"/>
      <c r="E5" s="178"/>
      <c r="F5" s="178"/>
      <c r="G5" s="177"/>
      <c r="H5" s="177"/>
      <c r="I5" s="177"/>
      <c r="J5" s="183"/>
      <c r="K5" s="183"/>
      <c r="L5" s="183"/>
      <c r="M5" s="183"/>
      <c r="N5" s="187"/>
      <c r="O5" s="187"/>
      <c r="P5" s="187"/>
      <c r="Q5" s="187"/>
      <c r="R5" s="187"/>
      <c r="S5" s="186"/>
      <c r="T5" s="186"/>
      <c r="U5" s="186"/>
      <c r="V5" s="186"/>
      <c r="W5" s="186"/>
      <c r="X5" s="186"/>
      <c r="Y5" s="186"/>
      <c r="Z5" s="186"/>
      <c r="AA5" s="186"/>
      <c r="AB5" s="186"/>
      <c r="AC5" s="186"/>
      <c r="AD5" s="184"/>
      <c r="AE5" s="184"/>
      <c r="AF5" s="184"/>
      <c r="AG5" s="185"/>
      <c r="AH5" s="185"/>
      <c r="AI5" s="185"/>
      <c r="AJ5" s="185"/>
      <c r="AK5" s="185"/>
      <c r="AL5" s="185"/>
    </row>
    <row r="6" spans="1:56" s="14" customFormat="1" ht="12" x14ac:dyDescent="0.15">
      <c r="A6" s="178"/>
      <c r="B6" s="178"/>
      <c r="C6" s="178"/>
      <c r="D6" s="178"/>
      <c r="E6" s="178"/>
      <c r="F6" s="178"/>
      <c r="G6" s="177"/>
      <c r="H6" s="177"/>
      <c r="I6" s="177"/>
      <c r="J6" s="183"/>
      <c r="K6" s="183"/>
      <c r="L6" s="183"/>
      <c r="M6" s="183"/>
      <c r="N6" s="187"/>
      <c r="O6" s="187"/>
      <c r="P6" s="187"/>
      <c r="Q6" s="187"/>
      <c r="R6" s="187"/>
      <c r="S6" s="186"/>
      <c r="T6" s="186"/>
      <c r="U6" s="186"/>
      <c r="V6" s="186"/>
      <c r="W6" s="186"/>
      <c r="X6" s="186"/>
      <c r="Y6" s="186"/>
      <c r="Z6" s="186"/>
      <c r="AA6" s="186"/>
      <c r="AB6" s="186"/>
      <c r="AC6" s="186"/>
      <c r="AD6" s="184"/>
      <c r="AE6" s="184"/>
      <c r="AF6" s="184"/>
      <c r="AG6" s="185"/>
      <c r="AH6" s="185"/>
      <c r="AI6" s="185"/>
      <c r="AJ6" s="185"/>
      <c r="AK6" s="185"/>
      <c r="AL6" s="185"/>
    </row>
    <row r="7" spans="1:56" s="14" customFormat="1" ht="12" x14ac:dyDescent="0.15">
      <c r="A7" s="15"/>
      <c r="B7" s="15"/>
      <c r="C7" s="15"/>
      <c r="D7" s="15"/>
      <c r="E7" s="15"/>
      <c r="F7" s="15"/>
      <c r="G7" s="15"/>
      <c r="H7" s="15"/>
      <c r="I7" s="15"/>
      <c r="J7" s="15"/>
      <c r="K7" s="16"/>
      <c r="L7" s="16"/>
      <c r="M7" s="16"/>
      <c r="N7" s="15"/>
      <c r="O7" s="15"/>
      <c r="P7" s="15"/>
      <c r="Q7" s="15"/>
      <c r="R7" s="15"/>
      <c r="S7" s="15"/>
      <c r="T7" s="15"/>
      <c r="U7" s="15"/>
      <c r="V7" s="15"/>
      <c r="W7" s="15"/>
      <c r="X7" s="15"/>
      <c r="Y7" s="15"/>
      <c r="Z7" s="15"/>
      <c r="AA7" s="15"/>
      <c r="AB7" s="15"/>
      <c r="AC7" s="15"/>
      <c r="AD7" s="15"/>
      <c r="AE7" s="15"/>
      <c r="AF7" s="15"/>
      <c r="AG7" s="15"/>
      <c r="AH7" s="15"/>
      <c r="AI7" s="15"/>
      <c r="AJ7" s="15"/>
      <c r="AK7" s="15"/>
      <c r="AL7" s="15"/>
    </row>
    <row r="8" spans="1:56" ht="24.15" customHeight="1" x14ac:dyDescent="0.2">
      <c r="A8" s="176" t="s">
        <v>9</v>
      </c>
      <c r="B8" s="176"/>
      <c r="C8" s="176"/>
      <c r="D8" s="181" t="s">
        <v>8</v>
      </c>
      <c r="E8" s="179"/>
      <c r="F8" s="179"/>
      <c r="G8" s="179"/>
      <c r="H8" s="179"/>
      <c r="I8" s="179"/>
      <c r="J8" s="180"/>
      <c r="K8" s="179" t="s">
        <v>2</v>
      </c>
      <c r="L8" s="179"/>
      <c r="M8" s="180"/>
      <c r="N8" s="181" t="s">
        <v>7</v>
      </c>
      <c r="O8" s="179"/>
      <c r="P8" s="179"/>
      <c r="Q8" s="179"/>
      <c r="R8" s="179"/>
      <c r="S8" s="179"/>
      <c r="T8" s="179"/>
      <c r="U8" s="179"/>
      <c r="V8" s="179"/>
      <c r="W8" s="179"/>
      <c r="X8" s="179"/>
      <c r="Y8" s="179"/>
      <c r="Z8" s="180"/>
      <c r="AA8" s="189" t="s">
        <v>70</v>
      </c>
      <c r="AB8" s="179"/>
      <c r="AC8" s="180"/>
      <c r="AD8" s="188" t="s">
        <v>5</v>
      </c>
      <c r="AE8" s="188"/>
      <c r="AF8" s="188" t="s">
        <v>6</v>
      </c>
      <c r="AG8" s="188"/>
      <c r="AH8" s="188"/>
      <c r="AI8" s="188"/>
      <c r="AJ8" s="181" t="s">
        <v>4</v>
      </c>
      <c r="AK8" s="179"/>
      <c r="AL8" s="180"/>
      <c r="AT8" s="6"/>
      <c r="AU8" s="6"/>
      <c r="AV8" s="6"/>
      <c r="AW8" s="6"/>
      <c r="AX8" s="6"/>
      <c r="AY8" s="6"/>
      <c r="AZ8" s="6"/>
      <c r="BA8" s="7"/>
      <c r="BB8" s="7"/>
      <c r="BC8" s="7"/>
      <c r="BD8" s="7"/>
    </row>
    <row r="9" spans="1:56" ht="14.25" customHeight="1" x14ac:dyDescent="0.2">
      <c r="A9" s="83"/>
      <c r="B9" s="84"/>
      <c r="C9" s="85"/>
      <c r="D9" s="100" t="s">
        <v>0</v>
      </c>
      <c r="E9" s="101"/>
      <c r="F9" s="67"/>
      <c r="G9" s="68"/>
      <c r="H9" s="68"/>
      <c r="I9" s="68"/>
      <c r="J9" s="69"/>
      <c r="K9" s="79" t="s">
        <v>35</v>
      </c>
      <c r="L9" s="71"/>
      <c r="M9" s="72"/>
      <c r="N9" s="100" t="s">
        <v>40</v>
      </c>
      <c r="O9" s="101"/>
      <c r="P9" s="104"/>
      <c r="Q9" s="104"/>
      <c r="R9" s="105"/>
      <c r="S9" s="4" t="s">
        <v>62</v>
      </c>
      <c r="T9" s="103"/>
      <c r="U9" s="104"/>
      <c r="V9" s="105"/>
      <c r="W9" s="4" t="s">
        <v>62</v>
      </c>
      <c r="X9" s="103"/>
      <c r="Y9" s="104"/>
      <c r="Z9" s="106"/>
      <c r="AA9" s="73"/>
      <c r="AB9" s="74"/>
      <c r="AC9" s="75"/>
      <c r="AD9" s="79"/>
      <c r="AE9" s="72"/>
      <c r="AF9" s="107">
        <f>IF(AND(K9="電車・バス", AD9="●"), AA9*2, IF(OR(K9="電車・バス",K9= "タクシー"), AA9, 0))</f>
        <v>0</v>
      </c>
      <c r="AG9" s="108"/>
      <c r="AH9" s="108"/>
      <c r="AI9" s="109"/>
      <c r="AJ9" s="79"/>
      <c r="AK9" s="71"/>
      <c r="AL9" s="72"/>
      <c r="AT9" s="66"/>
      <c r="AU9" s="66"/>
      <c r="AV9" s="66"/>
      <c r="AW9" s="65"/>
      <c r="AX9" s="65"/>
      <c r="AY9" s="66"/>
      <c r="AZ9" s="66"/>
      <c r="BA9" s="89"/>
      <c r="BB9" s="82"/>
      <c r="BC9" s="82"/>
      <c r="BD9" s="82"/>
    </row>
    <row r="10" spans="1:56" ht="14.25" customHeight="1" x14ac:dyDescent="0.2">
      <c r="A10" s="86"/>
      <c r="B10" s="87"/>
      <c r="C10" s="88"/>
      <c r="D10" s="90" t="s">
        <v>1</v>
      </c>
      <c r="E10" s="91"/>
      <c r="F10" s="92"/>
      <c r="G10" s="93"/>
      <c r="H10" s="93"/>
      <c r="I10" s="93"/>
      <c r="J10" s="94"/>
      <c r="K10" s="80"/>
      <c r="L10" s="99"/>
      <c r="M10" s="81"/>
      <c r="N10" s="90" t="s">
        <v>41</v>
      </c>
      <c r="O10" s="91"/>
      <c r="P10" s="95"/>
      <c r="Q10" s="95"/>
      <c r="R10" s="95"/>
      <c r="S10" s="95"/>
      <c r="T10" s="96"/>
      <c r="U10" s="5" t="s">
        <v>62</v>
      </c>
      <c r="V10" s="97"/>
      <c r="W10" s="95"/>
      <c r="X10" s="95"/>
      <c r="Y10" s="95"/>
      <c r="Z10" s="98"/>
      <c r="AA10" s="76"/>
      <c r="AB10" s="77"/>
      <c r="AC10" s="78"/>
      <c r="AD10" s="80"/>
      <c r="AE10" s="81"/>
      <c r="AF10" s="110"/>
      <c r="AG10" s="111"/>
      <c r="AH10" s="111"/>
      <c r="AI10" s="112"/>
      <c r="AJ10" s="80"/>
      <c r="AK10" s="99"/>
      <c r="AL10" s="81"/>
      <c r="AT10" s="66"/>
      <c r="AU10" s="66"/>
      <c r="AV10" s="66"/>
      <c r="AW10" s="65"/>
      <c r="AX10" s="65"/>
      <c r="AY10" s="66"/>
      <c r="AZ10" s="66"/>
      <c r="BA10" s="89"/>
      <c r="BB10" s="82"/>
      <c r="BC10" s="82"/>
      <c r="BD10" s="82"/>
    </row>
    <row r="11" spans="1:56" ht="14.25" customHeight="1" x14ac:dyDescent="0.2">
      <c r="A11" s="83"/>
      <c r="B11" s="84"/>
      <c r="C11" s="85"/>
      <c r="D11" s="100" t="s">
        <v>0</v>
      </c>
      <c r="E11" s="101"/>
      <c r="F11" s="67"/>
      <c r="G11" s="68"/>
      <c r="H11" s="68"/>
      <c r="I11" s="68"/>
      <c r="J11" s="69"/>
      <c r="K11" s="79" t="s">
        <v>35</v>
      </c>
      <c r="L11" s="71"/>
      <c r="M11" s="72"/>
      <c r="N11" s="100" t="s">
        <v>40</v>
      </c>
      <c r="O11" s="101"/>
      <c r="P11" s="104"/>
      <c r="Q11" s="104"/>
      <c r="R11" s="105"/>
      <c r="S11" s="4" t="s">
        <v>62</v>
      </c>
      <c r="T11" s="103"/>
      <c r="U11" s="104"/>
      <c r="V11" s="105"/>
      <c r="W11" s="4" t="s">
        <v>62</v>
      </c>
      <c r="X11" s="103"/>
      <c r="Y11" s="104"/>
      <c r="Z11" s="106"/>
      <c r="AA11" s="73"/>
      <c r="AB11" s="74"/>
      <c r="AC11" s="75"/>
      <c r="AD11" s="79"/>
      <c r="AE11" s="72"/>
      <c r="AF11" s="107">
        <f>IF(AND(K11="電車・バス", AD11="●"), AA11*2, IF(OR(K11="電車・バス",K11= "タクシー"), AA11, 0))</f>
        <v>0</v>
      </c>
      <c r="AG11" s="108"/>
      <c r="AH11" s="108"/>
      <c r="AI11" s="109"/>
      <c r="AJ11" s="79"/>
      <c r="AK11" s="71"/>
      <c r="AL11" s="72"/>
      <c r="AT11" s="66"/>
      <c r="AU11" s="66"/>
      <c r="AV11" s="66"/>
      <c r="AW11" s="65"/>
      <c r="AX11" s="65"/>
      <c r="AY11" s="66"/>
      <c r="AZ11" s="66"/>
      <c r="BA11" s="89"/>
      <c r="BB11" s="82"/>
      <c r="BC11" s="82"/>
      <c r="BD11" s="82"/>
    </row>
    <row r="12" spans="1:56" ht="14.25" customHeight="1" x14ac:dyDescent="0.2">
      <c r="A12" s="86"/>
      <c r="B12" s="87"/>
      <c r="C12" s="88"/>
      <c r="D12" s="90" t="s">
        <v>1</v>
      </c>
      <c r="E12" s="91"/>
      <c r="F12" s="92"/>
      <c r="G12" s="93"/>
      <c r="H12" s="93"/>
      <c r="I12" s="93"/>
      <c r="J12" s="94"/>
      <c r="K12" s="80"/>
      <c r="L12" s="99"/>
      <c r="M12" s="81"/>
      <c r="N12" s="90" t="s">
        <v>41</v>
      </c>
      <c r="O12" s="91"/>
      <c r="P12" s="95"/>
      <c r="Q12" s="95"/>
      <c r="R12" s="95"/>
      <c r="S12" s="95"/>
      <c r="T12" s="96"/>
      <c r="U12" s="5" t="s">
        <v>62</v>
      </c>
      <c r="V12" s="97"/>
      <c r="W12" s="95"/>
      <c r="X12" s="95"/>
      <c r="Y12" s="95"/>
      <c r="Z12" s="98"/>
      <c r="AA12" s="76"/>
      <c r="AB12" s="77"/>
      <c r="AC12" s="78"/>
      <c r="AD12" s="80"/>
      <c r="AE12" s="81"/>
      <c r="AF12" s="110"/>
      <c r="AG12" s="111"/>
      <c r="AH12" s="111"/>
      <c r="AI12" s="112"/>
      <c r="AJ12" s="80"/>
      <c r="AK12" s="99"/>
      <c r="AL12" s="81"/>
      <c r="AT12" s="66"/>
      <c r="AU12" s="66"/>
      <c r="AV12" s="66"/>
      <c r="AW12" s="65"/>
      <c r="AX12" s="65"/>
      <c r="AY12" s="66"/>
      <c r="AZ12" s="66"/>
      <c r="BA12" s="89"/>
      <c r="BB12" s="82"/>
      <c r="BC12" s="82"/>
      <c r="BD12" s="82"/>
    </row>
    <row r="13" spans="1:56" ht="14.25" customHeight="1" x14ac:dyDescent="0.2">
      <c r="A13" s="83"/>
      <c r="B13" s="84"/>
      <c r="C13" s="85"/>
      <c r="D13" s="100" t="s">
        <v>0</v>
      </c>
      <c r="E13" s="101"/>
      <c r="F13" s="67"/>
      <c r="G13" s="68"/>
      <c r="H13" s="68"/>
      <c r="I13" s="68"/>
      <c r="J13" s="69"/>
      <c r="K13" s="79" t="s">
        <v>35</v>
      </c>
      <c r="L13" s="71"/>
      <c r="M13" s="72"/>
      <c r="N13" s="100" t="s">
        <v>40</v>
      </c>
      <c r="O13" s="101"/>
      <c r="P13" s="104"/>
      <c r="Q13" s="104"/>
      <c r="R13" s="105"/>
      <c r="S13" s="4" t="s">
        <v>62</v>
      </c>
      <c r="T13" s="103"/>
      <c r="U13" s="104"/>
      <c r="V13" s="105"/>
      <c r="W13" s="4" t="s">
        <v>62</v>
      </c>
      <c r="X13" s="70"/>
      <c r="Y13" s="71"/>
      <c r="Z13" s="72"/>
      <c r="AA13" s="73"/>
      <c r="AB13" s="74"/>
      <c r="AC13" s="75"/>
      <c r="AD13" s="79"/>
      <c r="AE13" s="72"/>
      <c r="AF13" s="107">
        <f>IF(AND(K13="電車・バス", AD13="●"), AA13*2, IF(OR(K13="電車・バス",K13= "タクシー"), AA13, 0))</f>
        <v>0</v>
      </c>
      <c r="AG13" s="108"/>
      <c r="AH13" s="108"/>
      <c r="AI13" s="109"/>
      <c r="AJ13" s="79"/>
      <c r="AK13" s="71"/>
      <c r="AL13" s="72"/>
      <c r="AT13" s="66"/>
      <c r="AU13" s="66"/>
      <c r="AV13" s="66"/>
      <c r="AW13" s="65"/>
      <c r="AX13" s="65"/>
      <c r="AY13" s="66"/>
      <c r="AZ13" s="66"/>
      <c r="BA13" s="89"/>
      <c r="BB13" s="82"/>
      <c r="BC13" s="82"/>
      <c r="BD13" s="82"/>
    </row>
    <row r="14" spans="1:56" ht="14.25" customHeight="1" x14ac:dyDescent="0.2">
      <c r="A14" s="86"/>
      <c r="B14" s="87"/>
      <c r="C14" s="88"/>
      <c r="D14" s="90" t="s">
        <v>1</v>
      </c>
      <c r="E14" s="91"/>
      <c r="F14" s="92"/>
      <c r="G14" s="93"/>
      <c r="H14" s="93"/>
      <c r="I14" s="93"/>
      <c r="J14" s="94"/>
      <c r="K14" s="80"/>
      <c r="L14" s="99"/>
      <c r="M14" s="81"/>
      <c r="N14" s="90" t="s">
        <v>41</v>
      </c>
      <c r="O14" s="91"/>
      <c r="P14" s="95"/>
      <c r="Q14" s="95"/>
      <c r="R14" s="95"/>
      <c r="S14" s="95"/>
      <c r="T14" s="96"/>
      <c r="U14" s="5" t="s">
        <v>62</v>
      </c>
      <c r="V14" s="97"/>
      <c r="W14" s="95"/>
      <c r="X14" s="95"/>
      <c r="Y14" s="95"/>
      <c r="Z14" s="98"/>
      <c r="AA14" s="76"/>
      <c r="AB14" s="77"/>
      <c r="AC14" s="78"/>
      <c r="AD14" s="80"/>
      <c r="AE14" s="81"/>
      <c r="AF14" s="110"/>
      <c r="AG14" s="111"/>
      <c r="AH14" s="111"/>
      <c r="AI14" s="112"/>
      <c r="AJ14" s="80"/>
      <c r="AK14" s="99"/>
      <c r="AL14" s="81"/>
      <c r="AT14" s="66"/>
      <c r="AU14" s="66"/>
      <c r="AV14" s="66"/>
      <c r="AW14" s="65"/>
      <c r="AX14" s="65"/>
      <c r="AY14" s="66"/>
      <c r="AZ14" s="66"/>
      <c r="BA14" s="89"/>
      <c r="BB14" s="82"/>
      <c r="BC14" s="82"/>
      <c r="BD14" s="82"/>
    </row>
    <row r="15" spans="1:56" ht="14.25" customHeight="1" x14ac:dyDescent="0.2">
      <c r="A15" s="83"/>
      <c r="B15" s="84"/>
      <c r="C15" s="85"/>
      <c r="D15" s="100" t="s">
        <v>0</v>
      </c>
      <c r="E15" s="101"/>
      <c r="F15" s="67"/>
      <c r="G15" s="68"/>
      <c r="H15" s="68"/>
      <c r="I15" s="68"/>
      <c r="J15" s="69"/>
      <c r="K15" s="79" t="s">
        <v>35</v>
      </c>
      <c r="L15" s="71"/>
      <c r="M15" s="72"/>
      <c r="N15" s="100" t="s">
        <v>40</v>
      </c>
      <c r="O15" s="101"/>
      <c r="P15" s="71"/>
      <c r="Q15" s="71"/>
      <c r="R15" s="102"/>
      <c r="S15" s="4" t="s">
        <v>62</v>
      </c>
      <c r="T15" s="103"/>
      <c r="U15" s="104"/>
      <c r="V15" s="105"/>
      <c r="W15" s="4" t="s">
        <v>62</v>
      </c>
      <c r="X15" s="70"/>
      <c r="Y15" s="71"/>
      <c r="Z15" s="72"/>
      <c r="AA15" s="73"/>
      <c r="AB15" s="74"/>
      <c r="AC15" s="75"/>
      <c r="AD15" s="79"/>
      <c r="AE15" s="72"/>
      <c r="AF15" s="107">
        <f>IF(AND(K15="電車・バス", AD15="●"), AA15*2, IF(OR(K15="電車・バス",K15= "タクシー"), AA15, 0))</f>
        <v>0</v>
      </c>
      <c r="AG15" s="108"/>
      <c r="AH15" s="108"/>
      <c r="AI15" s="109"/>
      <c r="AJ15" s="79"/>
      <c r="AK15" s="71"/>
      <c r="AL15" s="72"/>
      <c r="AT15" s="66"/>
      <c r="AU15" s="66"/>
      <c r="AV15" s="66"/>
      <c r="AW15" s="65"/>
      <c r="AX15" s="65"/>
      <c r="AY15" s="66"/>
      <c r="AZ15" s="66"/>
      <c r="BA15" s="89"/>
      <c r="BB15" s="82"/>
      <c r="BC15" s="82"/>
      <c r="BD15" s="82"/>
    </row>
    <row r="16" spans="1:56" ht="14.25" customHeight="1" x14ac:dyDescent="0.2">
      <c r="A16" s="86"/>
      <c r="B16" s="87"/>
      <c r="C16" s="88"/>
      <c r="D16" s="90" t="s">
        <v>1</v>
      </c>
      <c r="E16" s="91"/>
      <c r="F16" s="92"/>
      <c r="G16" s="93"/>
      <c r="H16" s="93"/>
      <c r="I16" s="93"/>
      <c r="J16" s="94"/>
      <c r="K16" s="80"/>
      <c r="L16" s="99"/>
      <c r="M16" s="81"/>
      <c r="N16" s="90" t="s">
        <v>41</v>
      </c>
      <c r="O16" s="91"/>
      <c r="P16" s="95"/>
      <c r="Q16" s="95"/>
      <c r="R16" s="95"/>
      <c r="S16" s="95"/>
      <c r="T16" s="96"/>
      <c r="U16" s="5" t="s">
        <v>62</v>
      </c>
      <c r="V16" s="97"/>
      <c r="W16" s="95"/>
      <c r="X16" s="95"/>
      <c r="Y16" s="95"/>
      <c r="Z16" s="98"/>
      <c r="AA16" s="76"/>
      <c r="AB16" s="77"/>
      <c r="AC16" s="78"/>
      <c r="AD16" s="80"/>
      <c r="AE16" s="81"/>
      <c r="AF16" s="110"/>
      <c r="AG16" s="111"/>
      <c r="AH16" s="111"/>
      <c r="AI16" s="112"/>
      <c r="AJ16" s="80"/>
      <c r="AK16" s="99"/>
      <c r="AL16" s="81"/>
      <c r="AT16" s="66"/>
      <c r="AU16" s="66"/>
      <c r="AV16" s="66"/>
      <c r="AW16" s="65"/>
      <c r="AX16" s="65"/>
      <c r="AY16" s="66"/>
      <c r="AZ16" s="66"/>
      <c r="BA16" s="89"/>
      <c r="BB16" s="82"/>
      <c r="BC16" s="82"/>
      <c r="BD16" s="82"/>
    </row>
    <row r="17" spans="1:61" ht="14.25" customHeight="1" x14ac:dyDescent="0.2">
      <c r="A17" s="83"/>
      <c r="B17" s="84"/>
      <c r="C17" s="85"/>
      <c r="D17" s="100" t="s">
        <v>0</v>
      </c>
      <c r="E17" s="101"/>
      <c r="F17" s="67"/>
      <c r="G17" s="68"/>
      <c r="H17" s="68"/>
      <c r="I17" s="68"/>
      <c r="J17" s="69"/>
      <c r="K17" s="79" t="s">
        <v>35</v>
      </c>
      <c r="L17" s="71"/>
      <c r="M17" s="72"/>
      <c r="N17" s="100" t="s">
        <v>40</v>
      </c>
      <c r="O17" s="101"/>
      <c r="P17" s="71"/>
      <c r="Q17" s="71"/>
      <c r="R17" s="102"/>
      <c r="S17" s="4" t="s">
        <v>62</v>
      </c>
      <c r="T17" s="103"/>
      <c r="U17" s="104"/>
      <c r="V17" s="105"/>
      <c r="W17" s="4" t="s">
        <v>62</v>
      </c>
      <c r="X17" s="70"/>
      <c r="Y17" s="71"/>
      <c r="Z17" s="72"/>
      <c r="AA17" s="73"/>
      <c r="AB17" s="74"/>
      <c r="AC17" s="75"/>
      <c r="AD17" s="79"/>
      <c r="AE17" s="72"/>
      <c r="AF17" s="107">
        <f>IF(AND(K17="電車・バス", AD17="●"), AA17*2, IF(OR(K17="電車・バス",K17= "タクシー"), AA17, 0))</f>
        <v>0</v>
      </c>
      <c r="AG17" s="108"/>
      <c r="AH17" s="108"/>
      <c r="AI17" s="109"/>
      <c r="AJ17" s="79"/>
      <c r="AK17" s="71"/>
      <c r="AL17" s="72"/>
      <c r="AT17" s="66"/>
      <c r="AU17" s="66"/>
      <c r="AV17" s="66"/>
      <c r="AW17" s="65"/>
      <c r="AX17" s="65"/>
      <c r="AY17" s="66"/>
      <c r="AZ17" s="66"/>
      <c r="BA17" s="89"/>
      <c r="BB17" s="82"/>
      <c r="BC17" s="82"/>
      <c r="BD17" s="82"/>
    </row>
    <row r="18" spans="1:61" ht="14.25" customHeight="1" x14ac:dyDescent="0.2">
      <c r="A18" s="86"/>
      <c r="B18" s="87"/>
      <c r="C18" s="88"/>
      <c r="D18" s="90" t="s">
        <v>1</v>
      </c>
      <c r="E18" s="91"/>
      <c r="F18" s="92"/>
      <c r="G18" s="93"/>
      <c r="H18" s="93"/>
      <c r="I18" s="93"/>
      <c r="J18" s="94"/>
      <c r="K18" s="80"/>
      <c r="L18" s="99"/>
      <c r="M18" s="81"/>
      <c r="N18" s="90" t="s">
        <v>41</v>
      </c>
      <c r="O18" s="91"/>
      <c r="P18" s="95"/>
      <c r="Q18" s="95"/>
      <c r="R18" s="95"/>
      <c r="S18" s="95"/>
      <c r="T18" s="96"/>
      <c r="U18" s="5" t="s">
        <v>62</v>
      </c>
      <c r="V18" s="97"/>
      <c r="W18" s="95"/>
      <c r="X18" s="95"/>
      <c r="Y18" s="95"/>
      <c r="Z18" s="98"/>
      <c r="AA18" s="76"/>
      <c r="AB18" s="77"/>
      <c r="AC18" s="78"/>
      <c r="AD18" s="80"/>
      <c r="AE18" s="81"/>
      <c r="AF18" s="110"/>
      <c r="AG18" s="111"/>
      <c r="AH18" s="111"/>
      <c r="AI18" s="112"/>
      <c r="AJ18" s="80"/>
      <c r="AK18" s="99"/>
      <c r="AL18" s="81"/>
      <c r="AT18" s="66"/>
      <c r="AU18" s="66"/>
      <c r="AV18" s="66"/>
      <c r="AW18" s="65"/>
      <c r="AX18" s="65"/>
      <c r="AY18" s="66"/>
      <c r="AZ18" s="66"/>
      <c r="BA18" s="89"/>
      <c r="BB18" s="82"/>
      <c r="BC18" s="82"/>
      <c r="BD18" s="82"/>
    </row>
    <row r="19" spans="1:61" ht="14.25" customHeight="1" x14ac:dyDescent="0.2">
      <c r="A19" s="83"/>
      <c r="B19" s="84"/>
      <c r="C19" s="85"/>
      <c r="D19" s="100" t="s">
        <v>0</v>
      </c>
      <c r="E19" s="101"/>
      <c r="F19" s="67"/>
      <c r="G19" s="68"/>
      <c r="H19" s="68"/>
      <c r="I19" s="68"/>
      <c r="J19" s="69"/>
      <c r="K19" s="79" t="s">
        <v>35</v>
      </c>
      <c r="L19" s="71"/>
      <c r="M19" s="72"/>
      <c r="N19" s="100" t="s">
        <v>40</v>
      </c>
      <c r="O19" s="101"/>
      <c r="P19" s="104"/>
      <c r="Q19" s="104"/>
      <c r="R19" s="105"/>
      <c r="S19" s="4" t="s">
        <v>62</v>
      </c>
      <c r="T19" s="103"/>
      <c r="U19" s="104"/>
      <c r="V19" s="105"/>
      <c r="W19" s="4" t="s">
        <v>62</v>
      </c>
      <c r="X19" s="103"/>
      <c r="Y19" s="104"/>
      <c r="Z19" s="106"/>
      <c r="AA19" s="73"/>
      <c r="AB19" s="74"/>
      <c r="AC19" s="75"/>
      <c r="AD19" s="79"/>
      <c r="AE19" s="72"/>
      <c r="AF19" s="107">
        <f>IF(AND(K19="電車・バス", AD19="●"), AA19*2, IF(OR(K19="電車・バス",K19= "タクシー"), AA19, 0))</f>
        <v>0</v>
      </c>
      <c r="AG19" s="108"/>
      <c r="AH19" s="108"/>
      <c r="AI19" s="109"/>
      <c r="AJ19" s="79"/>
      <c r="AK19" s="71"/>
      <c r="AL19" s="72"/>
      <c r="AT19" s="66"/>
      <c r="AU19" s="66"/>
      <c r="AV19" s="66"/>
      <c r="AW19" s="65"/>
      <c r="AX19" s="65"/>
      <c r="AY19" s="66"/>
      <c r="AZ19" s="66"/>
      <c r="BA19" s="89"/>
      <c r="BB19" s="82"/>
      <c r="BC19" s="82"/>
      <c r="BD19" s="82"/>
    </row>
    <row r="20" spans="1:61" ht="14.25" customHeight="1" x14ac:dyDescent="0.2">
      <c r="A20" s="86"/>
      <c r="B20" s="87"/>
      <c r="C20" s="88"/>
      <c r="D20" s="90" t="s">
        <v>1</v>
      </c>
      <c r="E20" s="91"/>
      <c r="F20" s="92"/>
      <c r="G20" s="93"/>
      <c r="H20" s="93"/>
      <c r="I20" s="93"/>
      <c r="J20" s="94"/>
      <c r="K20" s="80"/>
      <c r="L20" s="99"/>
      <c r="M20" s="81"/>
      <c r="N20" s="90" t="s">
        <v>41</v>
      </c>
      <c r="O20" s="91"/>
      <c r="P20" s="95"/>
      <c r="Q20" s="95"/>
      <c r="R20" s="95"/>
      <c r="S20" s="95"/>
      <c r="T20" s="96"/>
      <c r="U20" s="5" t="s">
        <v>62</v>
      </c>
      <c r="V20" s="97"/>
      <c r="W20" s="95"/>
      <c r="X20" s="95"/>
      <c r="Y20" s="95"/>
      <c r="Z20" s="98"/>
      <c r="AA20" s="76"/>
      <c r="AB20" s="77"/>
      <c r="AC20" s="78"/>
      <c r="AD20" s="80"/>
      <c r="AE20" s="81"/>
      <c r="AF20" s="110"/>
      <c r="AG20" s="111"/>
      <c r="AH20" s="111"/>
      <c r="AI20" s="112"/>
      <c r="AJ20" s="80"/>
      <c r="AK20" s="99"/>
      <c r="AL20" s="81"/>
      <c r="AT20" s="66"/>
      <c r="AU20" s="66"/>
      <c r="AV20" s="66"/>
      <c r="AW20" s="65"/>
      <c r="AX20" s="65"/>
      <c r="AY20" s="66"/>
      <c r="AZ20" s="66"/>
      <c r="BA20" s="89"/>
      <c r="BB20" s="82"/>
      <c r="BC20" s="82"/>
      <c r="BD20" s="82"/>
    </row>
    <row r="21" spans="1:61" ht="14.25" customHeight="1" x14ac:dyDescent="0.2">
      <c r="A21" s="83"/>
      <c r="B21" s="84"/>
      <c r="C21" s="85"/>
      <c r="D21" s="100" t="s">
        <v>0</v>
      </c>
      <c r="E21" s="101"/>
      <c r="F21" s="67"/>
      <c r="G21" s="68"/>
      <c r="H21" s="68"/>
      <c r="I21" s="68"/>
      <c r="J21" s="69"/>
      <c r="K21" s="79" t="s">
        <v>35</v>
      </c>
      <c r="L21" s="71"/>
      <c r="M21" s="72"/>
      <c r="N21" s="100" t="s">
        <v>40</v>
      </c>
      <c r="O21" s="101"/>
      <c r="P21" s="71"/>
      <c r="Q21" s="71"/>
      <c r="R21" s="102"/>
      <c r="S21" s="4" t="s">
        <v>62</v>
      </c>
      <c r="T21" s="103"/>
      <c r="U21" s="104"/>
      <c r="V21" s="105"/>
      <c r="W21" s="4" t="s">
        <v>62</v>
      </c>
      <c r="X21" s="70"/>
      <c r="Y21" s="71"/>
      <c r="Z21" s="72"/>
      <c r="AA21" s="73"/>
      <c r="AB21" s="74"/>
      <c r="AC21" s="75"/>
      <c r="AD21" s="79"/>
      <c r="AE21" s="72"/>
      <c r="AF21" s="107">
        <f>IF(AND(K21="電車・バス", AD21="●"), AA21*2, IF(OR(K21="電車・バス",K21= "タクシー"), AA21, 0))</f>
        <v>0</v>
      </c>
      <c r="AG21" s="108"/>
      <c r="AH21" s="108"/>
      <c r="AI21" s="109"/>
      <c r="AJ21" s="79"/>
      <c r="AK21" s="71"/>
      <c r="AL21" s="72"/>
      <c r="AT21" s="66"/>
      <c r="AU21" s="66"/>
      <c r="AV21" s="66"/>
      <c r="AW21" s="65"/>
      <c r="AX21" s="65"/>
      <c r="AY21" s="66"/>
      <c r="AZ21" s="66"/>
      <c r="BA21" s="89"/>
      <c r="BB21" s="82"/>
      <c r="BC21" s="82"/>
      <c r="BD21" s="82"/>
    </row>
    <row r="22" spans="1:61" ht="14.25" customHeight="1" x14ac:dyDescent="0.2">
      <c r="A22" s="86"/>
      <c r="B22" s="87"/>
      <c r="C22" s="88"/>
      <c r="D22" s="90" t="s">
        <v>1</v>
      </c>
      <c r="E22" s="91"/>
      <c r="F22" s="92"/>
      <c r="G22" s="93"/>
      <c r="H22" s="93"/>
      <c r="I22" s="93"/>
      <c r="J22" s="94"/>
      <c r="K22" s="80"/>
      <c r="L22" s="99"/>
      <c r="M22" s="81"/>
      <c r="N22" s="90" t="s">
        <v>41</v>
      </c>
      <c r="O22" s="91"/>
      <c r="P22" s="95"/>
      <c r="Q22" s="95"/>
      <c r="R22" s="95"/>
      <c r="S22" s="95"/>
      <c r="T22" s="96"/>
      <c r="U22" s="5" t="s">
        <v>62</v>
      </c>
      <c r="V22" s="97"/>
      <c r="W22" s="95"/>
      <c r="X22" s="95"/>
      <c r="Y22" s="95"/>
      <c r="Z22" s="98"/>
      <c r="AA22" s="76"/>
      <c r="AB22" s="77"/>
      <c r="AC22" s="78"/>
      <c r="AD22" s="80"/>
      <c r="AE22" s="81"/>
      <c r="AF22" s="110"/>
      <c r="AG22" s="111"/>
      <c r="AH22" s="111"/>
      <c r="AI22" s="112"/>
      <c r="AJ22" s="80"/>
      <c r="AK22" s="99"/>
      <c r="AL22" s="81"/>
      <c r="AT22" s="66"/>
      <c r="AU22" s="66"/>
      <c r="AV22" s="66"/>
      <c r="AW22" s="65"/>
      <c r="AX22" s="65"/>
      <c r="AY22" s="66"/>
      <c r="AZ22" s="66"/>
      <c r="BA22" s="89"/>
      <c r="BB22" s="82"/>
      <c r="BC22" s="82"/>
      <c r="BD22" s="82"/>
    </row>
    <row r="23" spans="1:61" ht="14.25" customHeight="1" x14ac:dyDescent="0.2">
      <c r="A23" s="83"/>
      <c r="B23" s="84"/>
      <c r="C23" s="85"/>
      <c r="D23" s="100" t="s">
        <v>0</v>
      </c>
      <c r="E23" s="101"/>
      <c r="F23" s="67"/>
      <c r="G23" s="68"/>
      <c r="H23" s="68"/>
      <c r="I23" s="68"/>
      <c r="J23" s="69"/>
      <c r="K23" s="79" t="s">
        <v>35</v>
      </c>
      <c r="L23" s="71"/>
      <c r="M23" s="72"/>
      <c r="N23" s="100" t="s">
        <v>40</v>
      </c>
      <c r="O23" s="101"/>
      <c r="P23" s="71"/>
      <c r="Q23" s="71"/>
      <c r="R23" s="102"/>
      <c r="S23" s="4" t="s">
        <v>62</v>
      </c>
      <c r="T23" s="103"/>
      <c r="U23" s="104"/>
      <c r="V23" s="105"/>
      <c r="W23" s="4" t="s">
        <v>62</v>
      </c>
      <c r="X23" s="70"/>
      <c r="Y23" s="71"/>
      <c r="Z23" s="72"/>
      <c r="AA23" s="73"/>
      <c r="AB23" s="74"/>
      <c r="AC23" s="75"/>
      <c r="AD23" s="79"/>
      <c r="AE23" s="72"/>
      <c r="AF23" s="107">
        <f>IF(AND(K23="電車・バス", AD23="●"), AA23*2, IF(OR(K23="電車・バス",K23= "タクシー"), AA23, 0))</f>
        <v>0</v>
      </c>
      <c r="AG23" s="108"/>
      <c r="AH23" s="108"/>
      <c r="AI23" s="109"/>
      <c r="AJ23" s="79"/>
      <c r="AK23" s="71"/>
      <c r="AL23" s="72"/>
      <c r="AT23" s="66"/>
      <c r="AU23" s="66"/>
      <c r="AV23" s="66"/>
      <c r="AW23" s="65"/>
      <c r="AX23" s="65"/>
      <c r="AY23" s="66"/>
      <c r="AZ23" s="66"/>
      <c r="BA23" s="89"/>
      <c r="BB23" s="82"/>
      <c r="BC23" s="82"/>
      <c r="BD23" s="82"/>
    </row>
    <row r="24" spans="1:61" ht="14.25" customHeight="1" x14ac:dyDescent="0.2">
      <c r="A24" s="86"/>
      <c r="B24" s="87"/>
      <c r="C24" s="88"/>
      <c r="D24" s="90" t="s">
        <v>1</v>
      </c>
      <c r="E24" s="91"/>
      <c r="F24" s="92"/>
      <c r="G24" s="93"/>
      <c r="H24" s="93"/>
      <c r="I24" s="93"/>
      <c r="J24" s="94"/>
      <c r="K24" s="80"/>
      <c r="L24" s="99"/>
      <c r="M24" s="81"/>
      <c r="N24" s="90" t="s">
        <v>41</v>
      </c>
      <c r="O24" s="91"/>
      <c r="P24" s="95"/>
      <c r="Q24" s="95"/>
      <c r="R24" s="95"/>
      <c r="S24" s="95"/>
      <c r="T24" s="96"/>
      <c r="U24" s="5" t="s">
        <v>62</v>
      </c>
      <c r="V24" s="97"/>
      <c r="W24" s="95"/>
      <c r="X24" s="95"/>
      <c r="Y24" s="95"/>
      <c r="Z24" s="98"/>
      <c r="AA24" s="76"/>
      <c r="AB24" s="77"/>
      <c r="AC24" s="78"/>
      <c r="AD24" s="80"/>
      <c r="AE24" s="81"/>
      <c r="AF24" s="110"/>
      <c r="AG24" s="111"/>
      <c r="AH24" s="111"/>
      <c r="AI24" s="112"/>
      <c r="AJ24" s="80"/>
      <c r="AK24" s="99"/>
      <c r="AL24" s="81"/>
      <c r="AT24" s="66"/>
      <c r="AU24" s="66"/>
      <c r="AV24" s="66"/>
      <c r="AW24" s="65"/>
      <c r="AX24" s="65"/>
      <c r="AY24" s="66"/>
      <c r="AZ24" s="66"/>
      <c r="BA24" s="89"/>
      <c r="BB24" s="82"/>
      <c r="BC24" s="82"/>
      <c r="BD24" s="82"/>
    </row>
    <row r="25" spans="1:61" ht="14.25" customHeight="1" x14ac:dyDescent="0.2">
      <c r="A25" s="83"/>
      <c r="B25" s="84"/>
      <c r="C25" s="85"/>
      <c r="D25" s="100" t="s">
        <v>0</v>
      </c>
      <c r="E25" s="101"/>
      <c r="F25" s="67"/>
      <c r="G25" s="68"/>
      <c r="H25" s="68"/>
      <c r="I25" s="68"/>
      <c r="J25" s="69"/>
      <c r="K25" s="79" t="s">
        <v>35</v>
      </c>
      <c r="L25" s="71"/>
      <c r="M25" s="72"/>
      <c r="N25" s="100" t="s">
        <v>40</v>
      </c>
      <c r="O25" s="101"/>
      <c r="P25" s="104"/>
      <c r="Q25" s="104"/>
      <c r="R25" s="105"/>
      <c r="S25" s="4" t="s">
        <v>62</v>
      </c>
      <c r="T25" s="103"/>
      <c r="U25" s="104"/>
      <c r="V25" s="105"/>
      <c r="W25" s="4" t="s">
        <v>62</v>
      </c>
      <c r="X25" s="103"/>
      <c r="Y25" s="104"/>
      <c r="Z25" s="106"/>
      <c r="AA25" s="73"/>
      <c r="AB25" s="74"/>
      <c r="AC25" s="75"/>
      <c r="AD25" s="79"/>
      <c r="AE25" s="72"/>
      <c r="AF25" s="107">
        <f>IF(AND(K25="電車・バス", AD25="●"), AA25*2, IF(OR(K25="電車・バス",K25= "タクシー"), AA25, 0))</f>
        <v>0</v>
      </c>
      <c r="AG25" s="108"/>
      <c r="AH25" s="108"/>
      <c r="AI25" s="109"/>
      <c r="AJ25" s="79"/>
      <c r="AK25" s="71"/>
      <c r="AL25" s="72"/>
      <c r="AT25" s="66"/>
      <c r="AU25" s="66"/>
      <c r="AV25" s="66"/>
      <c r="AW25" s="65"/>
      <c r="AX25" s="65"/>
      <c r="AY25" s="66"/>
      <c r="AZ25" s="66"/>
      <c r="BA25" s="89"/>
      <c r="BB25" s="82"/>
      <c r="BC25" s="82"/>
      <c r="BD25" s="82"/>
    </row>
    <row r="26" spans="1:61" ht="14.25" customHeight="1" x14ac:dyDescent="0.2">
      <c r="A26" s="86"/>
      <c r="B26" s="87"/>
      <c r="C26" s="88"/>
      <c r="D26" s="90" t="s">
        <v>1</v>
      </c>
      <c r="E26" s="91"/>
      <c r="F26" s="92"/>
      <c r="G26" s="93"/>
      <c r="H26" s="93"/>
      <c r="I26" s="93"/>
      <c r="J26" s="94"/>
      <c r="K26" s="80"/>
      <c r="L26" s="99"/>
      <c r="M26" s="81"/>
      <c r="N26" s="90" t="s">
        <v>41</v>
      </c>
      <c r="O26" s="91"/>
      <c r="P26" s="95"/>
      <c r="Q26" s="95"/>
      <c r="R26" s="95"/>
      <c r="S26" s="95"/>
      <c r="T26" s="96"/>
      <c r="U26" s="5" t="s">
        <v>62</v>
      </c>
      <c r="V26" s="97"/>
      <c r="W26" s="95"/>
      <c r="X26" s="95"/>
      <c r="Y26" s="95"/>
      <c r="Z26" s="98"/>
      <c r="AA26" s="76"/>
      <c r="AB26" s="77"/>
      <c r="AC26" s="78"/>
      <c r="AD26" s="80"/>
      <c r="AE26" s="81"/>
      <c r="AF26" s="110"/>
      <c r="AG26" s="111"/>
      <c r="AH26" s="111"/>
      <c r="AI26" s="112"/>
      <c r="AJ26" s="80"/>
      <c r="AK26" s="99"/>
      <c r="AL26" s="81"/>
      <c r="AT26" s="66"/>
      <c r="AU26" s="66"/>
      <c r="AV26" s="66"/>
      <c r="AW26" s="65"/>
      <c r="AX26" s="65"/>
      <c r="AY26" s="66"/>
      <c r="AZ26" s="66"/>
      <c r="BA26" s="89"/>
      <c r="BB26" s="82"/>
      <c r="BC26" s="82"/>
      <c r="BD26" s="82"/>
      <c r="BI26" s="54"/>
    </row>
    <row r="27" spans="1:61" ht="14.25" customHeight="1" x14ac:dyDescent="0.2">
      <c r="A27" s="83"/>
      <c r="B27" s="84"/>
      <c r="C27" s="85"/>
      <c r="D27" s="100" t="s">
        <v>0</v>
      </c>
      <c r="E27" s="101"/>
      <c r="F27" s="67"/>
      <c r="G27" s="68"/>
      <c r="H27" s="68"/>
      <c r="I27" s="68"/>
      <c r="J27" s="69"/>
      <c r="K27" s="79" t="s">
        <v>35</v>
      </c>
      <c r="L27" s="71"/>
      <c r="M27" s="72"/>
      <c r="N27" s="100" t="s">
        <v>40</v>
      </c>
      <c r="O27" s="101"/>
      <c r="P27" s="104"/>
      <c r="Q27" s="104"/>
      <c r="R27" s="105"/>
      <c r="S27" s="4" t="s">
        <v>62</v>
      </c>
      <c r="T27" s="103"/>
      <c r="U27" s="104"/>
      <c r="V27" s="105"/>
      <c r="W27" s="4" t="s">
        <v>62</v>
      </c>
      <c r="X27" s="103"/>
      <c r="Y27" s="104"/>
      <c r="Z27" s="106"/>
      <c r="AA27" s="73"/>
      <c r="AB27" s="74"/>
      <c r="AC27" s="75"/>
      <c r="AD27" s="79"/>
      <c r="AE27" s="72"/>
      <c r="AF27" s="107">
        <f>IF(AND(K27="電車・バス", AD27="●"), AA27*2, IF(OR(K27="電車・バス",K27= "タクシー"), AA27, 0))</f>
        <v>0</v>
      </c>
      <c r="AG27" s="108"/>
      <c r="AH27" s="108"/>
      <c r="AI27" s="109"/>
      <c r="AJ27" s="79"/>
      <c r="AK27" s="71"/>
      <c r="AL27" s="72"/>
      <c r="AT27" s="66"/>
      <c r="AU27" s="66"/>
      <c r="AV27" s="66"/>
      <c r="AW27" s="65"/>
      <c r="AX27" s="65"/>
      <c r="AY27" s="66"/>
      <c r="AZ27" s="66"/>
      <c r="BA27" s="89"/>
      <c r="BB27" s="82"/>
      <c r="BC27" s="82"/>
      <c r="BD27" s="82"/>
    </row>
    <row r="28" spans="1:61" ht="14.25" customHeight="1" x14ac:dyDescent="0.2">
      <c r="A28" s="86"/>
      <c r="B28" s="87"/>
      <c r="C28" s="88"/>
      <c r="D28" s="90" t="s">
        <v>1</v>
      </c>
      <c r="E28" s="91"/>
      <c r="F28" s="92"/>
      <c r="G28" s="93"/>
      <c r="H28" s="93"/>
      <c r="I28" s="93"/>
      <c r="J28" s="94"/>
      <c r="K28" s="80"/>
      <c r="L28" s="99"/>
      <c r="M28" s="81"/>
      <c r="N28" s="90" t="s">
        <v>41</v>
      </c>
      <c r="O28" s="91"/>
      <c r="P28" s="95"/>
      <c r="Q28" s="95"/>
      <c r="R28" s="95"/>
      <c r="S28" s="95"/>
      <c r="T28" s="96"/>
      <c r="U28" s="5" t="s">
        <v>62</v>
      </c>
      <c r="V28" s="97"/>
      <c r="W28" s="95"/>
      <c r="X28" s="95"/>
      <c r="Y28" s="95"/>
      <c r="Z28" s="98"/>
      <c r="AA28" s="76"/>
      <c r="AB28" s="77"/>
      <c r="AC28" s="78"/>
      <c r="AD28" s="80"/>
      <c r="AE28" s="81"/>
      <c r="AF28" s="110"/>
      <c r="AG28" s="111"/>
      <c r="AH28" s="111"/>
      <c r="AI28" s="112"/>
      <c r="AJ28" s="80"/>
      <c r="AK28" s="99"/>
      <c r="AL28" s="81"/>
      <c r="AT28" s="66"/>
      <c r="AU28" s="66"/>
      <c r="AV28" s="66"/>
      <c r="AW28" s="65"/>
      <c r="AX28" s="65"/>
      <c r="AY28" s="66"/>
      <c r="AZ28" s="66"/>
      <c r="BA28" s="89"/>
      <c r="BB28" s="82"/>
      <c r="BC28" s="82"/>
      <c r="BD28" s="82"/>
    </row>
    <row r="29" spans="1:61" ht="14.25" customHeight="1" x14ac:dyDescent="0.2">
      <c r="A29" s="83"/>
      <c r="B29" s="84"/>
      <c r="C29" s="85"/>
      <c r="D29" s="100" t="s">
        <v>0</v>
      </c>
      <c r="E29" s="101"/>
      <c r="F29" s="67"/>
      <c r="G29" s="68"/>
      <c r="H29" s="68"/>
      <c r="I29" s="68"/>
      <c r="J29" s="69"/>
      <c r="K29" s="79" t="s">
        <v>35</v>
      </c>
      <c r="L29" s="71"/>
      <c r="M29" s="72"/>
      <c r="N29" s="100" t="s">
        <v>40</v>
      </c>
      <c r="O29" s="101"/>
      <c r="P29" s="104"/>
      <c r="Q29" s="104"/>
      <c r="R29" s="105"/>
      <c r="S29" s="4" t="s">
        <v>62</v>
      </c>
      <c r="T29" s="103"/>
      <c r="U29" s="104"/>
      <c r="V29" s="105"/>
      <c r="W29" s="4" t="s">
        <v>62</v>
      </c>
      <c r="X29" s="103"/>
      <c r="Y29" s="104"/>
      <c r="Z29" s="106"/>
      <c r="AA29" s="73"/>
      <c r="AB29" s="74"/>
      <c r="AC29" s="75"/>
      <c r="AD29" s="79"/>
      <c r="AE29" s="72"/>
      <c r="AF29" s="107">
        <f>IF(AND(K29="電車・バス", AD29="●"), AA29*2, IF(OR(K29="電車・バス",K29= "タクシー"), AA29, 0))</f>
        <v>0</v>
      </c>
      <c r="AG29" s="108"/>
      <c r="AH29" s="108"/>
      <c r="AI29" s="109"/>
      <c r="AJ29" s="79"/>
      <c r="AK29" s="71"/>
      <c r="AL29" s="72"/>
      <c r="AT29" s="66"/>
      <c r="AU29" s="66"/>
      <c r="AV29" s="66"/>
      <c r="AW29" s="65"/>
      <c r="AX29" s="65"/>
      <c r="AY29" s="66"/>
      <c r="AZ29" s="66"/>
      <c r="BA29" s="89"/>
      <c r="BB29" s="82"/>
      <c r="BC29" s="82"/>
      <c r="BD29" s="82"/>
    </row>
    <row r="30" spans="1:61" ht="14.25" customHeight="1" x14ac:dyDescent="0.2">
      <c r="A30" s="86"/>
      <c r="B30" s="87"/>
      <c r="C30" s="88"/>
      <c r="D30" s="90" t="s">
        <v>1</v>
      </c>
      <c r="E30" s="91"/>
      <c r="F30" s="92"/>
      <c r="G30" s="93"/>
      <c r="H30" s="93"/>
      <c r="I30" s="93"/>
      <c r="J30" s="94"/>
      <c r="K30" s="80"/>
      <c r="L30" s="99"/>
      <c r="M30" s="81"/>
      <c r="N30" s="90" t="s">
        <v>41</v>
      </c>
      <c r="O30" s="91"/>
      <c r="P30" s="95"/>
      <c r="Q30" s="95"/>
      <c r="R30" s="95"/>
      <c r="S30" s="95"/>
      <c r="T30" s="96"/>
      <c r="U30" s="5" t="s">
        <v>62</v>
      </c>
      <c r="V30" s="97"/>
      <c r="W30" s="95"/>
      <c r="X30" s="95"/>
      <c r="Y30" s="95"/>
      <c r="Z30" s="98"/>
      <c r="AA30" s="76"/>
      <c r="AB30" s="77"/>
      <c r="AC30" s="78"/>
      <c r="AD30" s="80"/>
      <c r="AE30" s="81"/>
      <c r="AF30" s="110"/>
      <c r="AG30" s="111"/>
      <c r="AH30" s="111"/>
      <c r="AI30" s="112"/>
      <c r="AJ30" s="80"/>
      <c r="AK30" s="99"/>
      <c r="AL30" s="81"/>
      <c r="AT30" s="66"/>
      <c r="AU30" s="66"/>
      <c r="AV30" s="66"/>
      <c r="AW30" s="65"/>
      <c r="AX30" s="65"/>
      <c r="AY30" s="66"/>
      <c r="AZ30" s="66"/>
      <c r="BA30" s="89"/>
      <c r="BB30" s="82"/>
      <c r="BC30" s="82"/>
      <c r="BD30" s="82"/>
    </row>
    <row r="31" spans="1:61" ht="14.25" customHeight="1" x14ac:dyDescent="0.2">
      <c r="A31" s="83"/>
      <c r="B31" s="84"/>
      <c r="C31" s="85"/>
      <c r="D31" s="100" t="s">
        <v>0</v>
      </c>
      <c r="E31" s="101"/>
      <c r="F31" s="67"/>
      <c r="G31" s="68"/>
      <c r="H31" s="68"/>
      <c r="I31" s="68"/>
      <c r="J31" s="69"/>
      <c r="K31" s="79" t="s">
        <v>35</v>
      </c>
      <c r="L31" s="71"/>
      <c r="M31" s="72"/>
      <c r="N31" s="100" t="s">
        <v>40</v>
      </c>
      <c r="O31" s="101"/>
      <c r="P31" s="104"/>
      <c r="Q31" s="104"/>
      <c r="R31" s="105"/>
      <c r="S31" s="4" t="s">
        <v>62</v>
      </c>
      <c r="T31" s="103"/>
      <c r="U31" s="104"/>
      <c r="V31" s="105"/>
      <c r="W31" s="4" t="s">
        <v>62</v>
      </c>
      <c r="X31" s="103"/>
      <c r="Y31" s="104"/>
      <c r="Z31" s="106"/>
      <c r="AA31" s="73"/>
      <c r="AB31" s="74"/>
      <c r="AC31" s="75"/>
      <c r="AD31" s="79"/>
      <c r="AE31" s="72"/>
      <c r="AF31" s="107">
        <f>IF(AND(K31="電車・バス", AD31="●"), AA31*2, IF(OR(K31="電車・バス",K31= "タクシー"), AA31, 0))</f>
        <v>0</v>
      </c>
      <c r="AG31" s="108"/>
      <c r="AH31" s="108"/>
      <c r="AI31" s="109"/>
      <c r="AJ31" s="79"/>
      <c r="AK31" s="71"/>
      <c r="AL31" s="72"/>
      <c r="AT31" s="66"/>
      <c r="AU31" s="66"/>
      <c r="AV31" s="66"/>
      <c r="AW31" s="65"/>
      <c r="AX31" s="65"/>
      <c r="AY31" s="66"/>
      <c r="AZ31" s="66"/>
      <c r="BA31" s="89"/>
      <c r="BB31" s="82"/>
      <c r="BC31" s="82"/>
      <c r="BD31" s="82"/>
    </row>
    <row r="32" spans="1:61" ht="14.25" customHeight="1" x14ac:dyDescent="0.2">
      <c r="A32" s="86"/>
      <c r="B32" s="87"/>
      <c r="C32" s="88"/>
      <c r="D32" s="90" t="s">
        <v>1</v>
      </c>
      <c r="E32" s="91"/>
      <c r="F32" s="92"/>
      <c r="G32" s="93"/>
      <c r="H32" s="93"/>
      <c r="I32" s="93"/>
      <c r="J32" s="94"/>
      <c r="K32" s="80"/>
      <c r="L32" s="99"/>
      <c r="M32" s="81"/>
      <c r="N32" s="90" t="s">
        <v>41</v>
      </c>
      <c r="O32" s="91"/>
      <c r="P32" s="95"/>
      <c r="Q32" s="95"/>
      <c r="R32" s="95"/>
      <c r="S32" s="95"/>
      <c r="T32" s="96"/>
      <c r="U32" s="5" t="s">
        <v>62</v>
      </c>
      <c r="V32" s="97"/>
      <c r="W32" s="95"/>
      <c r="X32" s="95"/>
      <c r="Y32" s="95"/>
      <c r="Z32" s="98"/>
      <c r="AA32" s="76"/>
      <c r="AB32" s="77"/>
      <c r="AC32" s="78"/>
      <c r="AD32" s="80"/>
      <c r="AE32" s="81"/>
      <c r="AF32" s="110"/>
      <c r="AG32" s="111"/>
      <c r="AH32" s="111"/>
      <c r="AI32" s="112"/>
      <c r="AJ32" s="80"/>
      <c r="AK32" s="99"/>
      <c r="AL32" s="81"/>
      <c r="AT32" s="66"/>
      <c r="AU32" s="66"/>
      <c r="AV32" s="66"/>
      <c r="AW32" s="65"/>
      <c r="AX32" s="65"/>
      <c r="AY32" s="66"/>
      <c r="AZ32" s="66"/>
      <c r="BA32" s="89"/>
      <c r="BB32" s="82"/>
      <c r="BC32" s="82"/>
      <c r="BD32" s="82"/>
    </row>
    <row r="33" spans="1:56" ht="14.25" customHeight="1" x14ac:dyDescent="0.2">
      <c r="A33" s="83"/>
      <c r="B33" s="84"/>
      <c r="C33" s="85"/>
      <c r="D33" s="100" t="s">
        <v>0</v>
      </c>
      <c r="E33" s="101"/>
      <c r="F33" s="67"/>
      <c r="G33" s="68"/>
      <c r="H33" s="68"/>
      <c r="I33" s="68"/>
      <c r="J33" s="69"/>
      <c r="K33" s="79" t="s">
        <v>35</v>
      </c>
      <c r="L33" s="71"/>
      <c r="M33" s="72"/>
      <c r="N33" s="100" t="s">
        <v>40</v>
      </c>
      <c r="O33" s="101"/>
      <c r="P33" s="71"/>
      <c r="Q33" s="71"/>
      <c r="R33" s="102"/>
      <c r="S33" s="4" t="s">
        <v>62</v>
      </c>
      <c r="T33" s="103"/>
      <c r="U33" s="104"/>
      <c r="V33" s="105"/>
      <c r="W33" s="4" t="s">
        <v>62</v>
      </c>
      <c r="X33" s="70"/>
      <c r="Y33" s="71"/>
      <c r="Z33" s="72"/>
      <c r="AA33" s="73"/>
      <c r="AB33" s="74"/>
      <c r="AC33" s="75"/>
      <c r="AD33" s="79"/>
      <c r="AE33" s="72"/>
      <c r="AF33" s="107">
        <f>IF(AND(K33="電車・バス", AD33="●"), AA33*2, IF(OR(K33="電車・バス",K33= "タクシー"), AA33, 0))</f>
        <v>0</v>
      </c>
      <c r="AG33" s="108"/>
      <c r="AH33" s="108"/>
      <c r="AI33" s="109"/>
      <c r="AJ33" s="79"/>
      <c r="AK33" s="71"/>
      <c r="AL33" s="72"/>
      <c r="AT33" s="66"/>
      <c r="AU33" s="66"/>
      <c r="AV33" s="66"/>
      <c r="AW33" s="65"/>
      <c r="AX33" s="65"/>
      <c r="AY33" s="66"/>
      <c r="AZ33" s="66"/>
      <c r="BA33" s="89"/>
      <c r="BB33" s="82"/>
      <c r="BC33" s="82"/>
      <c r="BD33" s="82"/>
    </row>
    <row r="34" spans="1:56" ht="14.25" customHeight="1" x14ac:dyDescent="0.2">
      <c r="A34" s="86"/>
      <c r="B34" s="87"/>
      <c r="C34" s="88"/>
      <c r="D34" s="90" t="s">
        <v>1</v>
      </c>
      <c r="E34" s="91"/>
      <c r="F34" s="92"/>
      <c r="G34" s="93"/>
      <c r="H34" s="93"/>
      <c r="I34" s="93"/>
      <c r="J34" s="94"/>
      <c r="K34" s="80"/>
      <c r="L34" s="99"/>
      <c r="M34" s="81"/>
      <c r="N34" s="90" t="s">
        <v>41</v>
      </c>
      <c r="O34" s="91"/>
      <c r="P34" s="95"/>
      <c r="Q34" s="95"/>
      <c r="R34" s="95"/>
      <c r="S34" s="95"/>
      <c r="T34" s="96"/>
      <c r="U34" s="5" t="s">
        <v>62</v>
      </c>
      <c r="V34" s="97"/>
      <c r="W34" s="95"/>
      <c r="X34" s="95"/>
      <c r="Y34" s="95"/>
      <c r="Z34" s="98"/>
      <c r="AA34" s="76"/>
      <c r="AB34" s="77"/>
      <c r="AC34" s="78"/>
      <c r="AD34" s="80"/>
      <c r="AE34" s="81"/>
      <c r="AF34" s="110"/>
      <c r="AG34" s="111"/>
      <c r="AH34" s="111"/>
      <c r="AI34" s="112"/>
      <c r="AJ34" s="80"/>
      <c r="AK34" s="99"/>
      <c r="AL34" s="81"/>
      <c r="AT34" s="66"/>
      <c r="AU34" s="66"/>
      <c r="AV34" s="66"/>
      <c r="AW34" s="65"/>
      <c r="AX34" s="65"/>
      <c r="AY34" s="66"/>
      <c r="AZ34" s="66"/>
      <c r="BA34" s="89"/>
      <c r="BB34" s="82"/>
      <c r="BC34" s="82"/>
      <c r="BD34" s="82"/>
    </row>
    <row r="35" spans="1:56" ht="14.25" customHeight="1" x14ac:dyDescent="0.2">
      <c r="A35" s="83"/>
      <c r="B35" s="84"/>
      <c r="C35" s="85"/>
      <c r="D35" s="100" t="s">
        <v>0</v>
      </c>
      <c r="E35" s="101"/>
      <c r="F35" s="67"/>
      <c r="G35" s="68"/>
      <c r="H35" s="68"/>
      <c r="I35" s="68"/>
      <c r="J35" s="69"/>
      <c r="K35" s="79" t="s">
        <v>35</v>
      </c>
      <c r="L35" s="71"/>
      <c r="M35" s="72"/>
      <c r="N35" s="100" t="s">
        <v>40</v>
      </c>
      <c r="O35" s="101"/>
      <c r="P35" s="71"/>
      <c r="Q35" s="71"/>
      <c r="R35" s="102"/>
      <c r="S35" s="4" t="s">
        <v>62</v>
      </c>
      <c r="T35" s="103"/>
      <c r="U35" s="104"/>
      <c r="V35" s="105"/>
      <c r="W35" s="4" t="s">
        <v>62</v>
      </c>
      <c r="X35" s="70"/>
      <c r="Y35" s="71"/>
      <c r="Z35" s="72"/>
      <c r="AA35" s="73"/>
      <c r="AB35" s="74"/>
      <c r="AC35" s="75"/>
      <c r="AD35" s="79"/>
      <c r="AE35" s="72"/>
      <c r="AF35" s="107">
        <f>IF(AND(K35="電車・バス", AD35="●"), AA35*2, IF(OR(K35="電車・バス",K35= "タクシー"), AA35, 0))</f>
        <v>0</v>
      </c>
      <c r="AG35" s="108"/>
      <c r="AH35" s="108"/>
      <c r="AI35" s="109"/>
      <c r="AJ35" s="79"/>
      <c r="AK35" s="71"/>
      <c r="AL35" s="72"/>
      <c r="AT35" s="66"/>
      <c r="AU35" s="66"/>
      <c r="AV35" s="66"/>
      <c r="AW35" s="65"/>
      <c r="AX35" s="65"/>
      <c r="AY35" s="66"/>
      <c r="AZ35" s="66"/>
      <c r="BA35" s="89"/>
      <c r="BB35" s="82"/>
      <c r="BC35" s="82"/>
      <c r="BD35" s="82"/>
    </row>
    <row r="36" spans="1:56" ht="14.25" customHeight="1" x14ac:dyDescent="0.2">
      <c r="A36" s="86"/>
      <c r="B36" s="87"/>
      <c r="C36" s="88"/>
      <c r="D36" s="90" t="s">
        <v>1</v>
      </c>
      <c r="E36" s="91"/>
      <c r="F36" s="92"/>
      <c r="G36" s="93"/>
      <c r="H36" s="93"/>
      <c r="I36" s="93"/>
      <c r="J36" s="94"/>
      <c r="K36" s="80"/>
      <c r="L36" s="99"/>
      <c r="M36" s="81"/>
      <c r="N36" s="90" t="s">
        <v>41</v>
      </c>
      <c r="O36" s="91"/>
      <c r="P36" s="95"/>
      <c r="Q36" s="95"/>
      <c r="R36" s="95"/>
      <c r="S36" s="95"/>
      <c r="T36" s="96"/>
      <c r="U36" s="5" t="s">
        <v>62</v>
      </c>
      <c r="V36" s="97"/>
      <c r="W36" s="95"/>
      <c r="X36" s="95"/>
      <c r="Y36" s="95"/>
      <c r="Z36" s="98"/>
      <c r="AA36" s="76"/>
      <c r="AB36" s="77"/>
      <c r="AC36" s="78"/>
      <c r="AD36" s="80"/>
      <c r="AE36" s="81"/>
      <c r="AF36" s="110"/>
      <c r="AG36" s="111"/>
      <c r="AH36" s="111"/>
      <c r="AI36" s="112"/>
      <c r="AJ36" s="80"/>
      <c r="AK36" s="99"/>
      <c r="AL36" s="81"/>
      <c r="AT36" s="66"/>
      <c r="AU36" s="66"/>
      <c r="AV36" s="66"/>
      <c r="AW36" s="65"/>
      <c r="AX36" s="65"/>
      <c r="AY36" s="66"/>
      <c r="AZ36" s="66"/>
      <c r="BA36" s="89"/>
      <c r="BB36" s="82"/>
      <c r="BC36" s="82"/>
      <c r="BD36" s="82"/>
    </row>
    <row r="37" spans="1:56" ht="14.25" customHeight="1" x14ac:dyDescent="0.2">
      <c r="A37" s="83"/>
      <c r="B37" s="84"/>
      <c r="C37" s="85"/>
      <c r="D37" s="100" t="s">
        <v>0</v>
      </c>
      <c r="E37" s="101"/>
      <c r="F37" s="67"/>
      <c r="G37" s="68"/>
      <c r="H37" s="68"/>
      <c r="I37" s="68"/>
      <c r="J37" s="69"/>
      <c r="K37" s="79" t="s">
        <v>35</v>
      </c>
      <c r="L37" s="71"/>
      <c r="M37" s="72"/>
      <c r="N37" s="100" t="s">
        <v>40</v>
      </c>
      <c r="O37" s="101"/>
      <c r="P37" s="71"/>
      <c r="Q37" s="71"/>
      <c r="R37" s="102"/>
      <c r="S37" s="4" t="s">
        <v>62</v>
      </c>
      <c r="T37" s="103"/>
      <c r="U37" s="104"/>
      <c r="V37" s="105"/>
      <c r="W37" s="4" t="s">
        <v>62</v>
      </c>
      <c r="X37" s="70"/>
      <c r="Y37" s="71"/>
      <c r="Z37" s="72"/>
      <c r="AA37" s="73"/>
      <c r="AB37" s="74"/>
      <c r="AC37" s="75"/>
      <c r="AD37" s="79"/>
      <c r="AE37" s="72"/>
      <c r="AF37" s="107">
        <f>IF(AND(K37="電車・バス", AD37="●"), AA37*2, IF(OR(K37="電車・バス",K37= "タクシー"), AA37, 0))</f>
        <v>0</v>
      </c>
      <c r="AG37" s="108"/>
      <c r="AH37" s="108"/>
      <c r="AI37" s="109"/>
      <c r="AJ37" s="79"/>
      <c r="AK37" s="71"/>
      <c r="AL37" s="72"/>
      <c r="AT37" s="66"/>
      <c r="AU37" s="66"/>
      <c r="AV37" s="66"/>
      <c r="AW37" s="65"/>
      <c r="AX37" s="65"/>
      <c r="AY37" s="66"/>
      <c r="AZ37" s="66"/>
      <c r="BA37" s="89"/>
      <c r="BB37" s="82"/>
      <c r="BC37" s="82"/>
      <c r="BD37" s="82"/>
    </row>
    <row r="38" spans="1:56" ht="14.25" customHeight="1" x14ac:dyDescent="0.2">
      <c r="A38" s="86"/>
      <c r="B38" s="87"/>
      <c r="C38" s="88"/>
      <c r="D38" s="90" t="s">
        <v>1</v>
      </c>
      <c r="E38" s="91"/>
      <c r="F38" s="92"/>
      <c r="G38" s="93"/>
      <c r="H38" s="93"/>
      <c r="I38" s="93"/>
      <c r="J38" s="94"/>
      <c r="K38" s="80"/>
      <c r="L38" s="99"/>
      <c r="M38" s="81"/>
      <c r="N38" s="90" t="s">
        <v>41</v>
      </c>
      <c r="O38" s="91"/>
      <c r="P38" s="95"/>
      <c r="Q38" s="95"/>
      <c r="R38" s="95"/>
      <c r="S38" s="95"/>
      <c r="T38" s="96"/>
      <c r="U38" s="5" t="s">
        <v>62</v>
      </c>
      <c r="V38" s="97"/>
      <c r="W38" s="95"/>
      <c r="X38" s="95"/>
      <c r="Y38" s="95"/>
      <c r="Z38" s="98"/>
      <c r="AA38" s="76"/>
      <c r="AB38" s="77"/>
      <c r="AC38" s="78"/>
      <c r="AD38" s="80"/>
      <c r="AE38" s="81"/>
      <c r="AF38" s="110"/>
      <c r="AG38" s="111"/>
      <c r="AH38" s="111"/>
      <c r="AI38" s="112"/>
      <c r="AJ38" s="80"/>
      <c r="AK38" s="99"/>
      <c r="AL38" s="81"/>
      <c r="AT38" s="66"/>
      <c r="AU38" s="66"/>
      <c r="AV38" s="66"/>
      <c r="AW38" s="65"/>
      <c r="AX38" s="65"/>
      <c r="AY38" s="66"/>
      <c r="AZ38" s="66"/>
      <c r="BA38" s="89"/>
      <c r="BB38" s="82"/>
      <c r="BC38" s="82"/>
      <c r="BD38" s="82"/>
    </row>
    <row r="39" spans="1:56" ht="14.25" customHeight="1" x14ac:dyDescent="0.2">
      <c r="A39" s="83"/>
      <c r="B39" s="84"/>
      <c r="C39" s="85"/>
      <c r="D39" s="100" t="s">
        <v>0</v>
      </c>
      <c r="E39" s="101"/>
      <c r="F39" s="67"/>
      <c r="G39" s="68"/>
      <c r="H39" s="68"/>
      <c r="I39" s="68"/>
      <c r="J39" s="69"/>
      <c r="K39" s="79" t="s">
        <v>35</v>
      </c>
      <c r="L39" s="71"/>
      <c r="M39" s="72"/>
      <c r="N39" s="100" t="s">
        <v>40</v>
      </c>
      <c r="O39" s="101"/>
      <c r="P39" s="71"/>
      <c r="Q39" s="71"/>
      <c r="R39" s="102"/>
      <c r="S39" s="4" t="s">
        <v>62</v>
      </c>
      <c r="T39" s="103"/>
      <c r="U39" s="104"/>
      <c r="V39" s="105"/>
      <c r="W39" s="4" t="s">
        <v>62</v>
      </c>
      <c r="X39" s="70"/>
      <c r="Y39" s="71"/>
      <c r="Z39" s="72"/>
      <c r="AA39" s="73"/>
      <c r="AB39" s="74"/>
      <c r="AC39" s="75"/>
      <c r="AD39" s="79"/>
      <c r="AE39" s="72"/>
      <c r="AF39" s="107">
        <f>IF(AND(K39="電車・バス", AD39="●"), AA39*2, IF(OR(K39="電車・バス",K39= "タクシー"), AA39, 0))</f>
        <v>0</v>
      </c>
      <c r="AG39" s="108"/>
      <c r="AH39" s="108"/>
      <c r="AI39" s="109"/>
      <c r="AJ39" s="79"/>
      <c r="AK39" s="71"/>
      <c r="AL39" s="72"/>
      <c r="AT39" s="66"/>
      <c r="AU39" s="66"/>
      <c r="AV39" s="66"/>
      <c r="AW39" s="65"/>
      <c r="AX39" s="65"/>
      <c r="AY39" s="66"/>
      <c r="AZ39" s="66"/>
      <c r="BA39" s="89"/>
      <c r="BB39" s="82"/>
      <c r="BC39" s="82"/>
      <c r="BD39" s="82"/>
    </row>
    <row r="40" spans="1:56" ht="14.25" customHeight="1" x14ac:dyDescent="0.2">
      <c r="A40" s="86"/>
      <c r="B40" s="87"/>
      <c r="C40" s="88"/>
      <c r="D40" s="90" t="s">
        <v>1</v>
      </c>
      <c r="E40" s="91"/>
      <c r="F40" s="92"/>
      <c r="G40" s="93"/>
      <c r="H40" s="93"/>
      <c r="I40" s="93"/>
      <c r="J40" s="94"/>
      <c r="K40" s="80"/>
      <c r="L40" s="99"/>
      <c r="M40" s="81"/>
      <c r="N40" s="90" t="s">
        <v>41</v>
      </c>
      <c r="O40" s="91"/>
      <c r="P40" s="95"/>
      <c r="Q40" s="95"/>
      <c r="R40" s="95"/>
      <c r="S40" s="95"/>
      <c r="T40" s="96"/>
      <c r="U40" s="5" t="s">
        <v>62</v>
      </c>
      <c r="V40" s="97"/>
      <c r="W40" s="95"/>
      <c r="X40" s="95"/>
      <c r="Y40" s="95"/>
      <c r="Z40" s="98"/>
      <c r="AA40" s="76"/>
      <c r="AB40" s="77"/>
      <c r="AC40" s="78"/>
      <c r="AD40" s="80"/>
      <c r="AE40" s="81"/>
      <c r="AF40" s="110"/>
      <c r="AG40" s="111"/>
      <c r="AH40" s="111"/>
      <c r="AI40" s="112"/>
      <c r="AJ40" s="80"/>
      <c r="AK40" s="99"/>
      <c r="AL40" s="81"/>
      <c r="AT40" s="66"/>
      <c r="AU40" s="66"/>
      <c r="AV40" s="66"/>
      <c r="AW40" s="65"/>
      <c r="AX40" s="65"/>
      <c r="AY40" s="66"/>
      <c r="AZ40" s="66"/>
      <c r="BA40" s="89"/>
      <c r="BB40" s="82"/>
      <c r="BC40" s="82"/>
      <c r="BD40" s="82"/>
    </row>
    <row r="41" spans="1:56" ht="14.25" customHeight="1" x14ac:dyDescent="0.2">
      <c r="A41" s="83"/>
      <c r="B41" s="84"/>
      <c r="C41" s="85"/>
      <c r="D41" s="100" t="s">
        <v>0</v>
      </c>
      <c r="E41" s="101"/>
      <c r="F41" s="67"/>
      <c r="G41" s="68"/>
      <c r="H41" s="68"/>
      <c r="I41" s="68"/>
      <c r="J41" s="69"/>
      <c r="K41" s="79" t="s">
        <v>35</v>
      </c>
      <c r="L41" s="71"/>
      <c r="M41" s="72"/>
      <c r="N41" s="100" t="s">
        <v>40</v>
      </c>
      <c r="O41" s="101"/>
      <c r="P41" s="71"/>
      <c r="Q41" s="71"/>
      <c r="R41" s="102"/>
      <c r="S41" s="4" t="s">
        <v>62</v>
      </c>
      <c r="T41" s="103"/>
      <c r="U41" s="104"/>
      <c r="V41" s="105"/>
      <c r="W41" s="4" t="s">
        <v>62</v>
      </c>
      <c r="X41" s="70"/>
      <c r="Y41" s="71"/>
      <c r="Z41" s="72"/>
      <c r="AA41" s="73"/>
      <c r="AB41" s="74"/>
      <c r="AC41" s="75"/>
      <c r="AD41" s="79"/>
      <c r="AE41" s="72"/>
      <c r="AF41" s="107">
        <f>IF(AND(K41="電車・バス", AD41="●"), AA41*2, IF(OR(K41="電車・バス",K41= "タクシー"), AA41, 0))</f>
        <v>0</v>
      </c>
      <c r="AG41" s="108"/>
      <c r="AH41" s="108"/>
      <c r="AI41" s="109"/>
      <c r="AJ41" s="79"/>
      <c r="AK41" s="71"/>
      <c r="AL41" s="72"/>
      <c r="AT41" s="66"/>
      <c r="AU41" s="66"/>
      <c r="AV41" s="66"/>
      <c r="AW41" s="65"/>
      <c r="AX41" s="65"/>
      <c r="AY41" s="66"/>
      <c r="AZ41" s="66"/>
      <c r="BA41" s="89"/>
      <c r="BB41" s="82"/>
      <c r="BC41" s="82"/>
      <c r="BD41" s="82"/>
    </row>
    <row r="42" spans="1:56" ht="14.25" customHeight="1" x14ac:dyDescent="0.2">
      <c r="A42" s="86"/>
      <c r="B42" s="87"/>
      <c r="C42" s="88"/>
      <c r="D42" s="90" t="s">
        <v>1</v>
      </c>
      <c r="E42" s="91"/>
      <c r="F42" s="92"/>
      <c r="G42" s="93"/>
      <c r="H42" s="93"/>
      <c r="I42" s="93"/>
      <c r="J42" s="94"/>
      <c r="K42" s="80"/>
      <c r="L42" s="99"/>
      <c r="M42" s="81"/>
      <c r="N42" s="90" t="s">
        <v>41</v>
      </c>
      <c r="O42" s="91"/>
      <c r="P42" s="95"/>
      <c r="Q42" s="95"/>
      <c r="R42" s="95"/>
      <c r="S42" s="95"/>
      <c r="T42" s="96"/>
      <c r="U42" s="5" t="s">
        <v>62</v>
      </c>
      <c r="V42" s="97"/>
      <c r="W42" s="95"/>
      <c r="X42" s="95"/>
      <c r="Y42" s="95"/>
      <c r="Z42" s="98"/>
      <c r="AA42" s="76"/>
      <c r="AB42" s="77"/>
      <c r="AC42" s="78"/>
      <c r="AD42" s="80"/>
      <c r="AE42" s="81"/>
      <c r="AF42" s="110"/>
      <c r="AG42" s="111"/>
      <c r="AH42" s="111"/>
      <c r="AI42" s="112"/>
      <c r="AJ42" s="80"/>
      <c r="AK42" s="99"/>
      <c r="AL42" s="81"/>
      <c r="AT42" s="66"/>
      <c r="AU42" s="66"/>
      <c r="AV42" s="66"/>
      <c r="AW42" s="65"/>
      <c r="AX42" s="65"/>
      <c r="AY42" s="66"/>
      <c r="AZ42" s="66"/>
      <c r="BA42" s="89"/>
      <c r="BB42" s="82"/>
      <c r="BC42" s="82"/>
      <c r="BD42" s="82"/>
    </row>
    <row r="43" spans="1:56" ht="14.25" customHeight="1" x14ac:dyDescent="0.2">
      <c r="A43" s="83"/>
      <c r="B43" s="84"/>
      <c r="C43" s="85"/>
      <c r="D43" s="100" t="s">
        <v>0</v>
      </c>
      <c r="E43" s="101"/>
      <c r="F43" s="67"/>
      <c r="G43" s="68"/>
      <c r="H43" s="68"/>
      <c r="I43" s="68"/>
      <c r="J43" s="69"/>
      <c r="K43" s="79" t="s">
        <v>35</v>
      </c>
      <c r="L43" s="71"/>
      <c r="M43" s="72"/>
      <c r="N43" s="100" t="s">
        <v>40</v>
      </c>
      <c r="O43" s="101"/>
      <c r="P43" s="71"/>
      <c r="Q43" s="71"/>
      <c r="R43" s="102"/>
      <c r="S43" s="4" t="s">
        <v>62</v>
      </c>
      <c r="T43" s="103"/>
      <c r="U43" s="104"/>
      <c r="V43" s="105"/>
      <c r="W43" s="4" t="s">
        <v>62</v>
      </c>
      <c r="X43" s="70"/>
      <c r="Y43" s="71"/>
      <c r="Z43" s="72"/>
      <c r="AA43" s="73"/>
      <c r="AB43" s="74"/>
      <c r="AC43" s="75"/>
      <c r="AD43" s="79"/>
      <c r="AE43" s="72"/>
      <c r="AF43" s="107">
        <f>IF(AND(K43="電車・バス", AD43="●"), AA43*2, IF(OR(K43="電車・バス",K43= "タクシー"), AA43, 0))</f>
        <v>0</v>
      </c>
      <c r="AG43" s="108"/>
      <c r="AH43" s="108"/>
      <c r="AI43" s="109"/>
      <c r="AJ43" s="79"/>
      <c r="AK43" s="71"/>
      <c r="AL43" s="72"/>
      <c r="AT43" s="66"/>
      <c r="AU43" s="66"/>
      <c r="AV43" s="66"/>
      <c r="AW43" s="65"/>
      <c r="AX43" s="65"/>
      <c r="AY43" s="66"/>
      <c r="AZ43" s="66"/>
      <c r="BA43" s="89"/>
      <c r="BB43" s="82"/>
      <c r="BC43" s="82"/>
      <c r="BD43" s="82"/>
    </row>
    <row r="44" spans="1:56" ht="14.25" customHeight="1" x14ac:dyDescent="0.2">
      <c r="A44" s="86"/>
      <c r="B44" s="87"/>
      <c r="C44" s="88"/>
      <c r="D44" s="90" t="s">
        <v>1</v>
      </c>
      <c r="E44" s="91"/>
      <c r="F44" s="92"/>
      <c r="G44" s="93"/>
      <c r="H44" s="93"/>
      <c r="I44" s="93"/>
      <c r="J44" s="94"/>
      <c r="K44" s="80"/>
      <c r="L44" s="99"/>
      <c r="M44" s="81"/>
      <c r="N44" s="90" t="s">
        <v>41</v>
      </c>
      <c r="O44" s="91"/>
      <c r="P44" s="95"/>
      <c r="Q44" s="95"/>
      <c r="R44" s="95"/>
      <c r="S44" s="95"/>
      <c r="T44" s="96"/>
      <c r="U44" s="5" t="s">
        <v>62</v>
      </c>
      <c r="V44" s="97"/>
      <c r="W44" s="95"/>
      <c r="X44" s="95"/>
      <c r="Y44" s="95"/>
      <c r="Z44" s="98"/>
      <c r="AA44" s="76"/>
      <c r="AB44" s="77"/>
      <c r="AC44" s="78"/>
      <c r="AD44" s="80"/>
      <c r="AE44" s="81"/>
      <c r="AF44" s="110"/>
      <c r="AG44" s="111"/>
      <c r="AH44" s="111"/>
      <c r="AI44" s="112"/>
      <c r="AJ44" s="80"/>
      <c r="AK44" s="99"/>
      <c r="AL44" s="81"/>
      <c r="AT44" s="66"/>
      <c r="AU44" s="66"/>
      <c r="AV44" s="66"/>
      <c r="AW44" s="65"/>
      <c r="AX44" s="65"/>
      <c r="AY44" s="66"/>
      <c r="AZ44" s="66"/>
      <c r="BA44" s="89"/>
      <c r="BB44" s="82"/>
      <c r="BC44" s="82"/>
      <c r="BD44" s="82"/>
    </row>
    <row r="45" spans="1:56" ht="18.75" customHeight="1" x14ac:dyDescent="0.2">
      <c r="A45" s="3"/>
      <c r="B45" s="3"/>
      <c r="C45" s="3"/>
      <c r="D45" s="1"/>
      <c r="E45" s="2"/>
      <c r="F45" s="2"/>
      <c r="G45" s="2"/>
      <c r="H45" s="2"/>
      <c r="N45" s="1"/>
      <c r="O45" s="2"/>
      <c r="AU45" s="8"/>
    </row>
    <row r="46" spans="1:56" s="14" customFormat="1" ht="12" customHeight="1" x14ac:dyDescent="0.15">
      <c r="A46" s="172" t="s">
        <v>2</v>
      </c>
      <c r="B46" s="173"/>
      <c r="C46" s="173"/>
      <c r="D46" s="173"/>
      <c r="E46" s="173"/>
      <c r="F46" s="160" t="s">
        <v>54</v>
      </c>
      <c r="G46" s="161"/>
      <c r="H46" s="161"/>
      <c r="I46" s="161"/>
      <c r="J46" s="161"/>
      <c r="K46" s="161"/>
      <c r="L46" s="161"/>
      <c r="M46" s="161"/>
      <c r="N46" s="161"/>
      <c r="O46" s="161"/>
      <c r="P46" s="161"/>
      <c r="Q46" s="161"/>
      <c r="R46" s="162"/>
      <c r="S46" s="126" t="s">
        <v>6</v>
      </c>
      <c r="T46" s="127"/>
      <c r="U46" s="127"/>
      <c r="V46" s="128"/>
      <c r="W46" s="17"/>
      <c r="X46" s="18"/>
      <c r="Y46" s="18"/>
      <c r="Z46" s="19"/>
      <c r="AA46" s="119" t="s">
        <v>14</v>
      </c>
      <c r="AB46" s="120"/>
      <c r="AC46" s="120"/>
      <c r="AD46" s="120"/>
      <c r="AE46" s="120"/>
      <c r="AF46" s="120"/>
      <c r="AG46" s="120"/>
      <c r="AH46" s="120"/>
      <c r="AI46" s="120"/>
      <c r="AJ46" s="120"/>
      <c r="AK46" s="120"/>
      <c r="AL46" s="121"/>
    </row>
    <row r="47" spans="1:56" s="14" customFormat="1" ht="13.2" x14ac:dyDescent="0.15">
      <c r="A47" s="174" t="s">
        <v>10</v>
      </c>
      <c r="B47" s="175"/>
      <c r="C47" s="175"/>
      <c r="D47" s="175"/>
      <c r="E47" s="175"/>
      <c r="F47" s="20" t="s">
        <v>49</v>
      </c>
      <c r="G47" s="21"/>
      <c r="H47" s="21"/>
      <c r="I47" s="21"/>
      <c r="J47" s="21"/>
      <c r="K47" s="21" t="s">
        <v>48</v>
      </c>
      <c r="L47" s="21" t="s">
        <v>51</v>
      </c>
      <c r="M47" s="22"/>
      <c r="N47" s="22"/>
      <c r="O47" s="22"/>
      <c r="P47" s="22"/>
      <c r="Q47" s="22"/>
      <c r="R47" s="23"/>
      <c r="S47" s="129">
        <f>SUMIF(K9:M44,A47,AF9:AI44)-W47</f>
        <v>0</v>
      </c>
      <c r="T47" s="130"/>
      <c r="U47" s="130"/>
      <c r="V47" s="131"/>
      <c r="W47" s="50">
        <f t="array" ref="W47">SUM(IF((F9:F44="接待関連")*(K9:K44=A47),AF9:AF44,""))</f>
        <v>0</v>
      </c>
      <c r="X47" s="51"/>
      <c r="Y47" s="51"/>
      <c r="Z47" s="11"/>
      <c r="AA47" s="113">
        <f>SUM(AF9:AI44)</f>
        <v>0</v>
      </c>
      <c r="AB47" s="114"/>
      <c r="AC47" s="114"/>
      <c r="AD47" s="114"/>
      <c r="AE47" s="114"/>
      <c r="AF47" s="114"/>
      <c r="AG47" s="114"/>
      <c r="AH47" s="114"/>
      <c r="AI47" s="114"/>
      <c r="AJ47" s="114"/>
      <c r="AK47" s="114"/>
      <c r="AL47" s="115"/>
    </row>
    <row r="48" spans="1:56" s="14" customFormat="1" ht="13.2" x14ac:dyDescent="0.15">
      <c r="A48" s="158" t="s">
        <v>11</v>
      </c>
      <c r="B48" s="159"/>
      <c r="C48" s="159"/>
      <c r="D48" s="159"/>
      <c r="E48" s="159"/>
      <c r="F48" s="46" t="s">
        <v>49</v>
      </c>
      <c r="G48" s="47"/>
      <c r="H48" s="47"/>
      <c r="I48" s="47"/>
      <c r="J48" s="47"/>
      <c r="K48" s="47"/>
      <c r="L48" s="47" t="s">
        <v>52</v>
      </c>
      <c r="M48" s="48"/>
      <c r="N48" s="48"/>
      <c r="O48" s="48"/>
      <c r="P48" s="48"/>
      <c r="Q48" s="48"/>
      <c r="R48" s="49"/>
      <c r="S48" s="163">
        <f>SUMIF(K9:M44,A48,AF9:AI44)-W48</f>
        <v>0</v>
      </c>
      <c r="T48" s="164"/>
      <c r="U48" s="164"/>
      <c r="V48" s="165"/>
      <c r="W48" s="50">
        <f t="array" ref="W48">SUM(IF((F9:F44="接待関連")*(K9:K44=A48),AF9:AF44,""))</f>
        <v>0</v>
      </c>
      <c r="X48" s="51"/>
      <c r="Y48" s="51"/>
      <c r="Z48" s="11"/>
      <c r="AA48" s="116"/>
      <c r="AB48" s="117"/>
      <c r="AC48" s="117"/>
      <c r="AD48" s="117"/>
      <c r="AE48" s="117"/>
      <c r="AF48" s="117"/>
      <c r="AG48" s="117"/>
      <c r="AH48" s="117"/>
      <c r="AI48" s="117"/>
      <c r="AJ48" s="117"/>
      <c r="AK48" s="117"/>
      <c r="AL48" s="118"/>
    </row>
    <row r="49" spans="1:38" s="14" customFormat="1" ht="13.2" x14ac:dyDescent="0.15">
      <c r="A49" s="166" t="s">
        <v>39</v>
      </c>
      <c r="B49" s="167"/>
      <c r="C49" s="167"/>
      <c r="D49" s="167"/>
      <c r="E49" s="168"/>
      <c r="F49" s="24" t="s">
        <v>50</v>
      </c>
      <c r="G49" s="25"/>
      <c r="H49" s="25"/>
      <c r="I49" s="25"/>
      <c r="J49" s="25"/>
      <c r="K49" s="25"/>
      <c r="L49" s="25" t="s">
        <v>53</v>
      </c>
      <c r="M49" s="26"/>
      <c r="N49" s="26"/>
      <c r="O49" s="26"/>
      <c r="P49" s="26"/>
      <c r="Q49" s="26"/>
      <c r="R49" s="27"/>
      <c r="S49" s="169">
        <f>SUMIF(F9:H44,"接待関連",AF9:AI44)</f>
        <v>0</v>
      </c>
      <c r="T49" s="170"/>
      <c r="U49" s="170"/>
      <c r="V49" s="171"/>
      <c r="W49" s="10"/>
      <c r="X49" s="10"/>
      <c r="Y49" s="10"/>
      <c r="Z49" s="10"/>
      <c r="AA49" s="45"/>
      <c r="AB49" s="45"/>
      <c r="AC49" s="45"/>
      <c r="AD49" s="45"/>
      <c r="AE49" s="45"/>
      <c r="AF49" s="45"/>
      <c r="AG49" s="45"/>
      <c r="AH49" s="45"/>
      <c r="AI49" s="45"/>
      <c r="AJ49" s="45"/>
      <c r="AK49" s="45"/>
      <c r="AL49" s="45"/>
    </row>
    <row r="50" spans="1:38" s="14" customFormat="1" ht="12" x14ac:dyDescent="0.15">
      <c r="A50" s="28"/>
      <c r="B50" s="28"/>
      <c r="C50" s="132"/>
      <c r="D50" s="132"/>
      <c r="E50" s="132"/>
      <c r="F50" s="132"/>
      <c r="G50" s="132"/>
      <c r="H50" s="132"/>
      <c r="I50" s="132"/>
      <c r="J50" s="132"/>
      <c r="K50" s="132"/>
      <c r="L50" s="29"/>
      <c r="M50" s="132"/>
      <c r="N50" s="132"/>
      <c r="O50" s="132"/>
      <c r="P50" s="132"/>
      <c r="Q50" s="132"/>
      <c r="R50" s="132"/>
      <c r="S50" s="132"/>
      <c r="T50" s="132"/>
      <c r="U50" s="29"/>
      <c r="V50" s="29"/>
      <c r="W50" s="29"/>
      <c r="X50" s="29"/>
      <c r="Y50" s="29"/>
      <c r="Z50" s="29"/>
      <c r="AA50" s="52"/>
      <c r="AB50" s="52"/>
      <c r="AC50" s="52"/>
      <c r="AD50" s="52"/>
      <c r="AE50" s="52"/>
      <c r="AF50" s="52"/>
      <c r="AG50" s="52"/>
      <c r="AH50" s="52"/>
      <c r="AI50" s="52"/>
      <c r="AJ50" s="53"/>
      <c r="AK50" s="53"/>
      <c r="AL50" s="53"/>
    </row>
    <row r="51" spans="1:38" ht="8.1" customHeight="1" x14ac:dyDescent="0.2"/>
    <row r="52" spans="1:38" s="14" customFormat="1" ht="12" x14ac:dyDescent="0.15">
      <c r="A52" s="133" t="s">
        <v>55</v>
      </c>
      <c r="B52" s="134"/>
      <c r="C52" s="30"/>
      <c r="D52" s="31" t="s">
        <v>56</v>
      </c>
      <c r="E52" s="32"/>
      <c r="F52" s="32"/>
      <c r="G52" s="32"/>
      <c r="H52" s="32"/>
      <c r="I52" s="32"/>
      <c r="J52" s="32"/>
      <c r="K52" s="32"/>
      <c r="L52" s="32"/>
      <c r="M52" s="31"/>
      <c r="N52" s="31"/>
      <c r="O52" s="32"/>
      <c r="P52" s="31" t="s">
        <v>25</v>
      </c>
      <c r="Q52" s="32"/>
      <c r="R52" s="32"/>
      <c r="S52" s="32"/>
      <c r="T52" s="32"/>
      <c r="U52" s="32"/>
      <c r="V52" s="31"/>
      <c r="W52" s="31"/>
      <c r="X52" s="31"/>
      <c r="Y52" s="31"/>
      <c r="Z52" s="31"/>
      <c r="AA52" s="31" t="s">
        <v>26</v>
      </c>
      <c r="AB52" s="32"/>
      <c r="AC52" s="32"/>
      <c r="AD52" s="32"/>
      <c r="AE52" s="32"/>
      <c r="AF52" s="32"/>
      <c r="AG52" s="32"/>
      <c r="AH52" s="31"/>
      <c r="AI52" s="31"/>
      <c r="AJ52" s="31"/>
      <c r="AK52" s="33"/>
      <c r="AL52" s="34"/>
    </row>
    <row r="53" spans="1:38" s="14" customFormat="1" ht="12" x14ac:dyDescent="0.15">
      <c r="A53" s="135"/>
      <c r="B53" s="136"/>
      <c r="D53" s="122" t="s">
        <v>27</v>
      </c>
      <c r="E53" s="122"/>
      <c r="F53" s="122"/>
      <c r="G53" s="122"/>
      <c r="H53" s="122"/>
      <c r="I53" s="122"/>
      <c r="J53" s="122"/>
      <c r="K53" s="122"/>
      <c r="L53" s="122"/>
      <c r="M53" s="15"/>
      <c r="N53" s="15"/>
      <c r="O53" s="15"/>
      <c r="P53" s="122" t="s">
        <v>27</v>
      </c>
      <c r="Q53" s="122"/>
      <c r="R53" s="122"/>
      <c r="S53" s="122"/>
      <c r="T53" s="122"/>
      <c r="U53" s="122"/>
      <c r="V53" s="122"/>
      <c r="W53" s="122"/>
      <c r="X53" s="122"/>
      <c r="Y53" s="15"/>
      <c r="Z53" s="15"/>
      <c r="AA53" s="122" t="s">
        <v>27</v>
      </c>
      <c r="AB53" s="122"/>
      <c r="AC53" s="122"/>
      <c r="AD53" s="122"/>
      <c r="AE53" s="122"/>
      <c r="AF53" s="122"/>
      <c r="AG53" s="122"/>
      <c r="AH53" s="122"/>
      <c r="AI53" s="122"/>
      <c r="AK53" s="35"/>
      <c r="AL53" s="36"/>
    </row>
    <row r="54" spans="1:38" s="14" customFormat="1" ht="12" x14ac:dyDescent="0.15">
      <c r="A54" s="135"/>
      <c r="B54" s="136"/>
      <c r="D54" s="122"/>
      <c r="E54" s="122"/>
      <c r="F54" s="122"/>
      <c r="G54" s="122"/>
      <c r="H54" s="122"/>
      <c r="I54" s="122"/>
      <c r="J54" s="122"/>
      <c r="K54" s="122"/>
      <c r="L54" s="122"/>
      <c r="M54" s="15"/>
      <c r="N54" s="15"/>
      <c r="O54" s="15"/>
      <c r="P54" s="122"/>
      <c r="Q54" s="122"/>
      <c r="R54" s="122"/>
      <c r="S54" s="122"/>
      <c r="T54" s="122"/>
      <c r="U54" s="122"/>
      <c r="V54" s="122"/>
      <c r="W54" s="122"/>
      <c r="X54" s="122"/>
      <c r="Y54" s="15"/>
      <c r="Z54" s="15"/>
      <c r="AA54" s="122"/>
      <c r="AB54" s="122"/>
      <c r="AC54" s="122"/>
      <c r="AD54" s="122"/>
      <c r="AE54" s="122"/>
      <c r="AF54" s="122"/>
      <c r="AG54" s="122"/>
      <c r="AH54" s="122"/>
      <c r="AI54" s="122"/>
      <c r="AK54" s="37"/>
      <c r="AL54" s="38"/>
    </row>
    <row r="55" spans="1:38" s="14" customFormat="1" ht="12" x14ac:dyDescent="0.15">
      <c r="A55" s="135"/>
      <c r="B55" s="136"/>
      <c r="D55" s="123" t="s">
        <v>57</v>
      </c>
      <c r="E55" s="124"/>
      <c r="F55" s="125"/>
      <c r="G55" s="123" t="s">
        <v>13</v>
      </c>
      <c r="H55" s="124"/>
      <c r="I55" s="125"/>
      <c r="J55" s="123" t="s">
        <v>15</v>
      </c>
      <c r="K55" s="124"/>
      <c r="L55" s="125"/>
      <c r="M55" s="15"/>
      <c r="N55" s="15"/>
      <c r="O55" s="15"/>
      <c r="P55" s="123" t="s">
        <v>28</v>
      </c>
      <c r="Q55" s="124"/>
      <c r="R55" s="125"/>
      <c r="S55" s="123" t="s">
        <v>15</v>
      </c>
      <c r="T55" s="124"/>
      <c r="U55" s="125"/>
      <c r="V55" s="15"/>
      <c r="W55" s="15"/>
      <c r="X55" s="15"/>
      <c r="Y55" s="15"/>
      <c r="Z55" s="15"/>
      <c r="AA55" s="123" t="s">
        <v>29</v>
      </c>
      <c r="AB55" s="124"/>
      <c r="AC55" s="125"/>
      <c r="AD55" s="123" t="s">
        <v>16</v>
      </c>
      <c r="AE55" s="124"/>
      <c r="AF55" s="124"/>
      <c r="AG55" s="124"/>
      <c r="AH55" s="124"/>
      <c r="AI55" s="124"/>
      <c r="AJ55" s="124"/>
      <c r="AK55" s="124"/>
      <c r="AL55" s="125"/>
    </row>
    <row r="56" spans="1:38" s="14" customFormat="1" ht="12" x14ac:dyDescent="0.15">
      <c r="A56" s="135"/>
      <c r="B56" s="136"/>
      <c r="D56" s="139"/>
      <c r="E56" s="140"/>
      <c r="F56" s="141"/>
      <c r="G56" s="139"/>
      <c r="H56" s="140"/>
      <c r="I56" s="141"/>
      <c r="J56" s="139"/>
      <c r="K56" s="140"/>
      <c r="L56" s="141"/>
      <c r="M56" s="15"/>
      <c r="N56" s="15"/>
      <c r="O56" s="15"/>
      <c r="P56" s="139"/>
      <c r="Q56" s="140"/>
      <c r="R56" s="141"/>
      <c r="S56" s="139"/>
      <c r="T56" s="140"/>
      <c r="U56" s="141"/>
      <c r="V56" s="35"/>
      <c r="W56" s="35"/>
      <c r="X56" s="35"/>
      <c r="Y56" s="35"/>
      <c r="Z56" s="35"/>
      <c r="AA56" s="153"/>
      <c r="AB56" s="149"/>
      <c r="AC56" s="150"/>
      <c r="AD56" s="39"/>
      <c r="AE56" s="33"/>
      <c r="AF56" s="33"/>
      <c r="AG56" s="33"/>
      <c r="AH56" s="33"/>
      <c r="AI56" s="33"/>
      <c r="AJ56" s="33"/>
      <c r="AK56" s="33"/>
      <c r="AL56" s="34"/>
    </row>
    <row r="57" spans="1:38" s="14" customFormat="1" ht="12" x14ac:dyDescent="0.15">
      <c r="A57" s="135"/>
      <c r="B57" s="136"/>
      <c r="D57" s="142"/>
      <c r="E57" s="143"/>
      <c r="F57" s="144"/>
      <c r="G57" s="142"/>
      <c r="H57" s="143"/>
      <c r="I57" s="144"/>
      <c r="J57" s="142"/>
      <c r="K57" s="143"/>
      <c r="L57" s="144"/>
      <c r="M57" s="15"/>
      <c r="N57" s="15"/>
      <c r="O57" s="15"/>
      <c r="P57" s="142"/>
      <c r="Q57" s="143"/>
      <c r="R57" s="144"/>
      <c r="S57" s="142"/>
      <c r="T57" s="143"/>
      <c r="U57" s="144"/>
      <c r="V57" s="35"/>
      <c r="W57" s="35"/>
      <c r="X57" s="35"/>
      <c r="Y57" s="35"/>
      <c r="Z57" s="35"/>
      <c r="AA57" s="155"/>
      <c r="AB57" s="156"/>
      <c r="AC57" s="157"/>
      <c r="AD57" s="40"/>
      <c r="AE57" s="35"/>
      <c r="AF57" s="35"/>
      <c r="AG57" s="35"/>
      <c r="AH57" s="35"/>
      <c r="AI57" s="35"/>
      <c r="AJ57" s="35"/>
      <c r="AK57" s="35"/>
      <c r="AL57" s="36"/>
    </row>
    <row r="58" spans="1:38" s="14" customFormat="1" ht="13.65" customHeight="1" x14ac:dyDescent="0.15">
      <c r="A58" s="135"/>
      <c r="B58" s="136"/>
      <c r="D58" s="145"/>
      <c r="E58" s="132"/>
      <c r="F58" s="146"/>
      <c r="G58" s="145"/>
      <c r="H58" s="132"/>
      <c r="I58" s="146"/>
      <c r="J58" s="145"/>
      <c r="K58" s="132"/>
      <c r="L58" s="146"/>
      <c r="M58" s="15"/>
      <c r="N58" s="15"/>
      <c r="O58" s="15"/>
      <c r="P58" s="145"/>
      <c r="Q58" s="132"/>
      <c r="R58" s="146"/>
      <c r="S58" s="145"/>
      <c r="T58" s="132"/>
      <c r="U58" s="146"/>
      <c r="V58" s="35"/>
      <c r="W58" s="35"/>
      <c r="X58" s="35"/>
      <c r="Y58" s="35"/>
      <c r="Z58" s="35"/>
      <c r="AA58" s="154"/>
      <c r="AB58" s="151"/>
      <c r="AC58" s="152"/>
      <c r="AD58" s="41"/>
      <c r="AE58" s="37"/>
      <c r="AF58" s="37"/>
      <c r="AG58" s="37"/>
      <c r="AH58" s="37"/>
      <c r="AI58" s="37"/>
      <c r="AJ58" s="37"/>
      <c r="AK58" s="37"/>
      <c r="AL58" s="38"/>
    </row>
    <row r="59" spans="1:38" s="14" customFormat="1" ht="12" x14ac:dyDescent="0.15">
      <c r="A59" s="135"/>
      <c r="B59" s="136"/>
      <c r="C59" s="37"/>
      <c r="D59" s="37"/>
      <c r="E59" s="37"/>
      <c r="F59" s="37"/>
      <c r="G59" s="37"/>
      <c r="H59" s="37"/>
      <c r="I59" s="37"/>
      <c r="J59" s="37"/>
      <c r="K59" s="37"/>
      <c r="L59" s="37"/>
      <c r="M59" s="37"/>
      <c r="N59" s="37"/>
      <c r="O59" s="37"/>
      <c r="P59" s="37"/>
      <c r="Q59" s="37"/>
      <c r="R59" s="37"/>
      <c r="S59" s="37"/>
      <c r="T59" s="37"/>
      <c r="U59" s="37"/>
      <c r="V59" s="37"/>
      <c r="W59" s="37"/>
      <c r="X59" s="37"/>
      <c r="Y59" s="37"/>
      <c r="Z59" s="37"/>
      <c r="AA59" s="42"/>
      <c r="AB59" s="42"/>
      <c r="AC59" s="42"/>
      <c r="AD59" s="42"/>
      <c r="AE59" s="42"/>
      <c r="AF59" s="42"/>
      <c r="AG59" s="29"/>
      <c r="AH59" s="29"/>
      <c r="AI59" s="29"/>
      <c r="AJ59" s="29"/>
      <c r="AK59" s="29"/>
      <c r="AL59" s="43"/>
    </row>
    <row r="60" spans="1:38" s="14" customFormat="1" ht="12" x14ac:dyDescent="0.15">
      <c r="A60" s="135"/>
      <c r="B60" s="136"/>
      <c r="C60" s="149" t="s">
        <v>30</v>
      </c>
      <c r="D60" s="149"/>
      <c r="E60" s="149"/>
      <c r="F60" s="150"/>
      <c r="G60" s="153" t="s">
        <v>58</v>
      </c>
      <c r="H60" s="149"/>
      <c r="I60" s="149"/>
      <c r="J60" s="149"/>
      <c r="K60" s="149"/>
      <c r="L60" s="149"/>
      <c r="M60" s="149" t="s">
        <v>59</v>
      </c>
      <c r="N60" s="149"/>
      <c r="O60" s="149"/>
      <c r="P60" s="149"/>
      <c r="Q60" s="149"/>
      <c r="R60" s="149"/>
      <c r="S60" s="149"/>
      <c r="T60" s="149"/>
      <c r="U60" s="149" t="s">
        <v>60</v>
      </c>
      <c r="V60" s="149"/>
      <c r="W60" s="149"/>
      <c r="X60" s="149"/>
      <c r="Y60" s="149"/>
      <c r="Z60" s="149"/>
      <c r="AA60" s="147" t="s">
        <v>31</v>
      </c>
      <c r="AB60" s="147"/>
      <c r="AC60" s="147"/>
      <c r="AD60" s="147"/>
      <c r="AE60" s="147"/>
      <c r="AF60" s="147"/>
      <c r="AG60" s="31"/>
      <c r="AH60" s="31"/>
      <c r="AI60" s="31"/>
      <c r="AJ60" s="31"/>
      <c r="AK60" s="31"/>
      <c r="AL60" s="44"/>
    </row>
    <row r="61" spans="1:38" s="14" customFormat="1" ht="12" x14ac:dyDescent="0.15">
      <c r="A61" s="137"/>
      <c r="B61" s="138"/>
      <c r="C61" s="151"/>
      <c r="D61" s="151"/>
      <c r="E61" s="151"/>
      <c r="F61" s="152"/>
      <c r="G61" s="154"/>
      <c r="H61" s="151"/>
      <c r="I61" s="151"/>
      <c r="J61" s="151"/>
      <c r="K61" s="151"/>
      <c r="L61" s="151"/>
      <c r="M61" s="151"/>
      <c r="N61" s="151"/>
      <c r="O61" s="151"/>
      <c r="P61" s="151"/>
      <c r="Q61" s="151"/>
      <c r="R61" s="151"/>
      <c r="S61" s="151"/>
      <c r="T61" s="151"/>
      <c r="U61" s="151"/>
      <c r="V61" s="151"/>
      <c r="W61" s="151"/>
      <c r="X61" s="151"/>
      <c r="Y61" s="151"/>
      <c r="Z61" s="151"/>
      <c r="AA61" s="148"/>
      <c r="AB61" s="148"/>
      <c r="AC61" s="148"/>
      <c r="AD61" s="148"/>
      <c r="AE61" s="148"/>
      <c r="AF61" s="148"/>
      <c r="AG61" s="29"/>
      <c r="AH61" s="29"/>
      <c r="AI61" s="29"/>
      <c r="AJ61" s="29"/>
      <c r="AK61" s="29"/>
      <c r="AL61" s="43"/>
    </row>
  </sheetData>
  <sheetProtection algorithmName="SHA-512" hashValue="9i/DTG8vZXwlJc8pzF3mvjUNpsWIOBIALcVYkFpU0X68fWUf8WeCIykj2V8G1F6TjuibK6e8eDyQJYFJnaNU0g==" saltValue="nFV/gwQ9NJdSsQE8KAZ2FQ==" spinCount="100000" sheet="1"/>
  <mergeCells count="569">
    <mergeCell ref="AJ25:AL26"/>
    <mergeCell ref="AF23:AI24"/>
    <mergeCell ref="AF15:AI16"/>
    <mergeCell ref="AJ19:AL20"/>
    <mergeCell ref="AJ17:AL18"/>
    <mergeCell ref="AD13:AE14"/>
    <mergeCell ref="AF13:AI14"/>
    <mergeCell ref="AJ43:AL44"/>
    <mergeCell ref="AJ39:AL40"/>
    <mergeCell ref="AJ37:AL38"/>
    <mergeCell ref="AJ29:AL30"/>
    <mergeCell ref="AJ33:AL34"/>
    <mergeCell ref="AD31:AE32"/>
    <mergeCell ref="AF31:AI32"/>
    <mergeCell ref="AJ31:AL32"/>
    <mergeCell ref="AF35:AI36"/>
    <mergeCell ref="AJ35:AL36"/>
    <mergeCell ref="AD21:AE22"/>
    <mergeCell ref="V44:Z44"/>
    <mergeCell ref="AD25:AE26"/>
    <mergeCell ref="X23:Z23"/>
    <mergeCell ref="AD23:AE24"/>
    <mergeCell ref="AA13:AC14"/>
    <mergeCell ref="AF19:AI20"/>
    <mergeCell ref="AD17:AE18"/>
    <mergeCell ref="AF17:AI18"/>
    <mergeCell ref="AD15:AE16"/>
    <mergeCell ref="AF39:AI40"/>
    <mergeCell ref="AF37:AI38"/>
    <mergeCell ref="AA37:AC38"/>
    <mergeCell ref="AF21:AI22"/>
    <mergeCell ref="V22:Z22"/>
    <mergeCell ref="AD29:AE30"/>
    <mergeCell ref="AF29:AI30"/>
    <mergeCell ref="V30:Z30"/>
    <mergeCell ref="V32:Z32"/>
    <mergeCell ref="X33:Z33"/>
    <mergeCell ref="AA33:AC34"/>
    <mergeCell ref="AD33:AE34"/>
    <mergeCell ref="AF33:AI34"/>
    <mergeCell ref="A19:C20"/>
    <mergeCell ref="P28:T28"/>
    <mergeCell ref="N27:O27"/>
    <mergeCell ref="AJ15:AL16"/>
    <mergeCell ref="AJ11:AL12"/>
    <mergeCell ref="AJ13:AL14"/>
    <mergeCell ref="AD19:AE20"/>
    <mergeCell ref="N21:O21"/>
    <mergeCell ref="N22:O22"/>
    <mergeCell ref="N14:O14"/>
    <mergeCell ref="X15:Z15"/>
    <mergeCell ref="AJ23:AL24"/>
    <mergeCell ref="T19:V19"/>
    <mergeCell ref="X19:Z19"/>
    <mergeCell ref="X27:Z27"/>
    <mergeCell ref="AA27:AC28"/>
    <mergeCell ref="AD27:AE28"/>
    <mergeCell ref="AF27:AI28"/>
    <mergeCell ref="V28:Z28"/>
    <mergeCell ref="AJ27:AL28"/>
    <mergeCell ref="AJ21:AL22"/>
    <mergeCell ref="T21:V21"/>
    <mergeCell ref="X21:Z21"/>
    <mergeCell ref="AA21:AC22"/>
    <mergeCell ref="A9:C10"/>
    <mergeCell ref="F11:J11"/>
    <mergeCell ref="P27:R27"/>
    <mergeCell ref="F9:J9"/>
    <mergeCell ref="F10:J10"/>
    <mergeCell ref="F12:J12"/>
    <mergeCell ref="P29:R29"/>
    <mergeCell ref="P31:R31"/>
    <mergeCell ref="D33:E33"/>
    <mergeCell ref="N25:O25"/>
    <mergeCell ref="N26:O26"/>
    <mergeCell ref="D26:E26"/>
    <mergeCell ref="A23:C24"/>
    <mergeCell ref="D23:E23"/>
    <mergeCell ref="F23:J23"/>
    <mergeCell ref="D24:E24"/>
    <mergeCell ref="F24:J24"/>
    <mergeCell ref="P24:T24"/>
    <mergeCell ref="D19:E19"/>
    <mergeCell ref="F19:J19"/>
    <mergeCell ref="K19:M20"/>
    <mergeCell ref="F20:J20"/>
    <mergeCell ref="P20:T20"/>
    <mergeCell ref="A13:C14"/>
    <mergeCell ref="AQ1:AR1"/>
    <mergeCell ref="A1:C1"/>
    <mergeCell ref="D1:AI1"/>
    <mergeCell ref="A2:AL2"/>
    <mergeCell ref="AJ1:AP1"/>
    <mergeCell ref="D28:E28"/>
    <mergeCell ref="F28:J28"/>
    <mergeCell ref="N43:O43"/>
    <mergeCell ref="N44:O44"/>
    <mergeCell ref="N28:O28"/>
    <mergeCell ref="D27:E27"/>
    <mergeCell ref="F27:J27"/>
    <mergeCell ref="K27:M28"/>
    <mergeCell ref="D43:E43"/>
    <mergeCell ref="F33:J33"/>
    <mergeCell ref="K33:M34"/>
    <mergeCell ref="N33:O33"/>
    <mergeCell ref="A25:C26"/>
    <mergeCell ref="D25:E25"/>
    <mergeCell ref="F25:J25"/>
    <mergeCell ref="T25:V25"/>
    <mergeCell ref="X25:Z25"/>
    <mergeCell ref="K25:M26"/>
    <mergeCell ref="P25:R25"/>
    <mergeCell ref="AT37:AT38"/>
    <mergeCell ref="F43:J43"/>
    <mergeCell ref="P19:R19"/>
    <mergeCell ref="N19:O19"/>
    <mergeCell ref="N20:O20"/>
    <mergeCell ref="D44:E44"/>
    <mergeCell ref="F44:J44"/>
    <mergeCell ref="P44:T44"/>
    <mergeCell ref="T37:V37"/>
    <mergeCell ref="T27:V27"/>
    <mergeCell ref="AD43:AE44"/>
    <mergeCell ref="AD39:AE40"/>
    <mergeCell ref="AD37:AE38"/>
    <mergeCell ref="AT43:AT44"/>
    <mergeCell ref="F26:J26"/>
    <mergeCell ref="V26:Z26"/>
    <mergeCell ref="AF25:AI26"/>
    <mergeCell ref="AA23:AC24"/>
    <mergeCell ref="X43:Z43"/>
    <mergeCell ref="AF43:AI44"/>
    <mergeCell ref="AA25:AC26"/>
    <mergeCell ref="AA43:AC44"/>
    <mergeCell ref="K23:M24"/>
    <mergeCell ref="T23:V23"/>
    <mergeCell ref="AU25:AU26"/>
    <mergeCell ref="BD25:BD26"/>
    <mergeCell ref="BD39:BD40"/>
    <mergeCell ref="BD37:BD38"/>
    <mergeCell ref="AZ37:AZ38"/>
    <mergeCell ref="BD27:BD28"/>
    <mergeCell ref="AY27:AY28"/>
    <mergeCell ref="BC37:BC38"/>
    <mergeCell ref="AX37:AX38"/>
    <mergeCell ref="AY37:AY38"/>
    <mergeCell ref="AV33:AV34"/>
    <mergeCell ref="AZ27:AZ28"/>
    <mergeCell ref="BA27:BA28"/>
    <mergeCell ref="BB27:BB28"/>
    <mergeCell ref="AW27:AW28"/>
    <mergeCell ref="AX27:AX28"/>
    <mergeCell ref="BC27:BC28"/>
    <mergeCell ref="AW25:AW26"/>
    <mergeCell ref="BC25:BC26"/>
    <mergeCell ref="AU31:AU32"/>
    <mergeCell ref="AV31:AV32"/>
    <mergeCell ref="AW31:AW32"/>
    <mergeCell ref="BC31:BC32"/>
    <mergeCell ref="AX31:AX32"/>
    <mergeCell ref="BD43:BD44"/>
    <mergeCell ref="AZ43:AZ44"/>
    <mergeCell ref="BA43:BA44"/>
    <mergeCell ref="BA37:BA38"/>
    <mergeCell ref="BB39:BB40"/>
    <mergeCell ref="BC39:BC40"/>
    <mergeCell ref="BB37:BB38"/>
    <mergeCell ref="BA25:BA26"/>
    <mergeCell ref="AX39:AX40"/>
    <mergeCell ref="AY39:AY40"/>
    <mergeCell ref="AZ39:AZ40"/>
    <mergeCell ref="BD41:BD42"/>
    <mergeCell ref="BC29:BC30"/>
    <mergeCell ref="BD29:BD30"/>
    <mergeCell ref="BD31:BD32"/>
    <mergeCell ref="BC33:BC34"/>
    <mergeCell ref="BA33:BA34"/>
    <mergeCell ref="BB33:BB34"/>
    <mergeCell ref="AZ33:AZ34"/>
    <mergeCell ref="BB43:BB44"/>
    <mergeCell ref="AX41:AX42"/>
    <mergeCell ref="AZ31:AZ32"/>
    <mergeCell ref="BA31:BA32"/>
    <mergeCell ref="BB31:BB32"/>
    <mergeCell ref="AU43:AU44"/>
    <mergeCell ref="AV25:AV26"/>
    <mergeCell ref="AT25:AT26"/>
    <mergeCell ref="BB25:BB26"/>
    <mergeCell ref="BC43:BC44"/>
    <mergeCell ref="AV43:AV44"/>
    <mergeCell ref="AW43:AW44"/>
    <mergeCell ref="AX43:AX44"/>
    <mergeCell ref="AY43:AY44"/>
    <mergeCell ref="AX25:AX26"/>
    <mergeCell ref="AY25:AY26"/>
    <mergeCell ref="AZ25:AZ26"/>
    <mergeCell ref="BA39:BA40"/>
    <mergeCell ref="AT39:AT40"/>
    <mergeCell ref="AU39:AU40"/>
    <mergeCell ref="AV39:AV40"/>
    <mergeCell ref="AW39:AW40"/>
    <mergeCell ref="AT27:AT28"/>
    <mergeCell ref="AU27:AU28"/>
    <mergeCell ref="AV27:AV28"/>
    <mergeCell ref="AU37:AU38"/>
    <mergeCell ref="AV37:AV38"/>
    <mergeCell ref="AW37:AW38"/>
    <mergeCell ref="AU35:AU36"/>
    <mergeCell ref="BD23:BD24"/>
    <mergeCell ref="AX23:AX24"/>
    <mergeCell ref="AY23:AY24"/>
    <mergeCell ref="AZ23:AZ24"/>
    <mergeCell ref="BA23:BA24"/>
    <mergeCell ref="AT23:AT24"/>
    <mergeCell ref="BB23:BB24"/>
    <mergeCell ref="AZ19:AZ20"/>
    <mergeCell ref="BA19:BA20"/>
    <mergeCell ref="BC19:BC20"/>
    <mergeCell ref="BD19:BD20"/>
    <mergeCell ref="AW21:AW22"/>
    <mergeCell ref="AX21:AX22"/>
    <mergeCell ref="AY21:AY22"/>
    <mergeCell ref="AT21:AT22"/>
    <mergeCell ref="AU21:AU22"/>
    <mergeCell ref="BD21:BD22"/>
    <mergeCell ref="AZ21:AZ22"/>
    <mergeCell ref="BA21:BA22"/>
    <mergeCell ref="AT15:AT16"/>
    <mergeCell ref="AU15:AU16"/>
    <mergeCell ref="AV15:AV16"/>
    <mergeCell ref="AW15:AW16"/>
    <mergeCell ref="AT17:AT18"/>
    <mergeCell ref="AA17:AC18"/>
    <mergeCell ref="F17:J17"/>
    <mergeCell ref="K17:M18"/>
    <mergeCell ref="P17:R17"/>
    <mergeCell ref="N17:O17"/>
    <mergeCell ref="N18:O18"/>
    <mergeCell ref="F15:J15"/>
    <mergeCell ref="K15:M16"/>
    <mergeCell ref="AA15:AC16"/>
    <mergeCell ref="AA19:AC20"/>
    <mergeCell ref="D20:E20"/>
    <mergeCell ref="AU19:AU20"/>
    <mergeCell ref="AV19:AV20"/>
    <mergeCell ref="AW19:AW20"/>
    <mergeCell ref="BB19:BB20"/>
    <mergeCell ref="AX19:AX20"/>
    <mergeCell ref="AV17:AV18"/>
    <mergeCell ref="AW17:AW18"/>
    <mergeCell ref="BB17:BB18"/>
    <mergeCell ref="AY19:AY20"/>
    <mergeCell ref="AU17:AU18"/>
    <mergeCell ref="AT19:AT20"/>
    <mergeCell ref="BC17:BC18"/>
    <mergeCell ref="BD17:BD18"/>
    <mergeCell ref="AX17:AX18"/>
    <mergeCell ref="AY17:AY18"/>
    <mergeCell ref="AZ17:AZ18"/>
    <mergeCell ref="BA17:BA18"/>
    <mergeCell ref="BC15:BC16"/>
    <mergeCell ref="BD15:BD16"/>
    <mergeCell ref="AX15:AX16"/>
    <mergeCell ref="AY15:AY16"/>
    <mergeCell ref="AZ15:AZ16"/>
    <mergeCell ref="BA15:BA16"/>
    <mergeCell ref="BB15:BB16"/>
    <mergeCell ref="BC13:BC14"/>
    <mergeCell ref="BD13:BD14"/>
    <mergeCell ref="AX13:AX14"/>
    <mergeCell ref="AY13:AY14"/>
    <mergeCell ref="AZ13:AZ14"/>
    <mergeCell ref="BA13:BA14"/>
    <mergeCell ref="BB13:BB14"/>
    <mergeCell ref="BB11:BB12"/>
    <mergeCell ref="BC11:BC12"/>
    <mergeCell ref="BD11:BD12"/>
    <mergeCell ref="AZ11:AZ12"/>
    <mergeCell ref="BA11:BA12"/>
    <mergeCell ref="AT13:AT14"/>
    <mergeCell ref="AU13:AU14"/>
    <mergeCell ref="AV13:AV14"/>
    <mergeCell ref="AW13:AW14"/>
    <mergeCell ref="AX11:AX12"/>
    <mergeCell ref="AY11:AY12"/>
    <mergeCell ref="AT11:AT12"/>
    <mergeCell ref="AU11:AU12"/>
    <mergeCell ref="AV11:AV12"/>
    <mergeCell ref="AW11:AW12"/>
    <mergeCell ref="D14:E14"/>
    <mergeCell ref="A11:C12"/>
    <mergeCell ref="D11:E11"/>
    <mergeCell ref="AD11:AE12"/>
    <mergeCell ref="AT9:AT10"/>
    <mergeCell ref="AU9:AU10"/>
    <mergeCell ref="T9:V9"/>
    <mergeCell ref="X9:Z9"/>
    <mergeCell ref="BA9:BA10"/>
    <mergeCell ref="N9:O9"/>
    <mergeCell ref="N10:O10"/>
    <mergeCell ref="P9:R9"/>
    <mergeCell ref="T11:V11"/>
    <mergeCell ref="AA11:AC12"/>
    <mergeCell ref="V14:Z14"/>
    <mergeCell ref="AF11:AI12"/>
    <mergeCell ref="X11:Z11"/>
    <mergeCell ref="V12:Z12"/>
    <mergeCell ref="N12:O12"/>
    <mergeCell ref="AD9:AE10"/>
    <mergeCell ref="AA9:AC10"/>
    <mergeCell ref="V10:Z10"/>
    <mergeCell ref="T13:V13"/>
    <mergeCell ref="X13:Z13"/>
    <mergeCell ref="BB9:BB10"/>
    <mergeCell ref="BC9:BC10"/>
    <mergeCell ref="BD9:BD10"/>
    <mergeCell ref="AW9:AW10"/>
    <mergeCell ref="AX9:AX10"/>
    <mergeCell ref="AY9:AY10"/>
    <mergeCell ref="AZ9:AZ10"/>
    <mergeCell ref="AV9:AV10"/>
    <mergeCell ref="AG3:AL3"/>
    <mergeCell ref="AF9:AI10"/>
    <mergeCell ref="AJ9:AL10"/>
    <mergeCell ref="J4:M6"/>
    <mergeCell ref="AD4:AF6"/>
    <mergeCell ref="AG4:AL6"/>
    <mergeCell ref="S4:AC6"/>
    <mergeCell ref="N4:R6"/>
    <mergeCell ref="J3:M3"/>
    <mergeCell ref="S3:AF3"/>
    <mergeCell ref="N3:R3"/>
    <mergeCell ref="AF8:AI8"/>
    <mergeCell ref="AJ8:AL8"/>
    <mergeCell ref="N8:Z8"/>
    <mergeCell ref="AD8:AE8"/>
    <mergeCell ref="AA8:AC8"/>
    <mergeCell ref="A17:C18"/>
    <mergeCell ref="T17:V17"/>
    <mergeCell ref="X17:Z17"/>
    <mergeCell ref="D17:E17"/>
    <mergeCell ref="P15:R15"/>
    <mergeCell ref="N15:O15"/>
    <mergeCell ref="N16:O16"/>
    <mergeCell ref="T15:V15"/>
    <mergeCell ref="A27:C28"/>
    <mergeCell ref="P26:T26"/>
    <mergeCell ref="P23:R23"/>
    <mergeCell ref="N23:O23"/>
    <mergeCell ref="N24:O24"/>
    <mergeCell ref="A15:C16"/>
    <mergeCell ref="D15:E15"/>
    <mergeCell ref="D16:E16"/>
    <mergeCell ref="F16:J16"/>
    <mergeCell ref="P16:T16"/>
    <mergeCell ref="V16:Z16"/>
    <mergeCell ref="V20:Z20"/>
    <mergeCell ref="D18:E18"/>
    <mergeCell ref="F18:J18"/>
    <mergeCell ref="P18:T18"/>
    <mergeCell ref="V18:Z18"/>
    <mergeCell ref="A8:C8"/>
    <mergeCell ref="G3:I6"/>
    <mergeCell ref="P10:T10"/>
    <mergeCell ref="K9:M10"/>
    <mergeCell ref="A4:C6"/>
    <mergeCell ref="D4:F6"/>
    <mergeCell ref="K8:M8"/>
    <mergeCell ref="F13:J13"/>
    <mergeCell ref="K13:M14"/>
    <mergeCell ref="D9:E9"/>
    <mergeCell ref="D10:E10"/>
    <mergeCell ref="D8:J8"/>
    <mergeCell ref="P13:R13"/>
    <mergeCell ref="K11:M12"/>
    <mergeCell ref="P11:R11"/>
    <mergeCell ref="N13:O13"/>
    <mergeCell ref="A3:C3"/>
    <mergeCell ref="D3:F3"/>
    <mergeCell ref="F14:J14"/>
    <mergeCell ref="P14:T14"/>
    <mergeCell ref="D13:E13"/>
    <mergeCell ref="D12:E12"/>
    <mergeCell ref="P12:T12"/>
    <mergeCell ref="N11:O11"/>
    <mergeCell ref="C50:E50"/>
    <mergeCell ref="F50:H50"/>
    <mergeCell ref="I50:K50"/>
    <mergeCell ref="M50:Q50"/>
    <mergeCell ref="A37:C38"/>
    <mergeCell ref="D37:E37"/>
    <mergeCell ref="F37:J37"/>
    <mergeCell ref="K37:M38"/>
    <mergeCell ref="P37:R37"/>
    <mergeCell ref="A39:C40"/>
    <mergeCell ref="D39:E39"/>
    <mergeCell ref="F39:J39"/>
    <mergeCell ref="K39:M40"/>
    <mergeCell ref="P39:R39"/>
    <mergeCell ref="N39:O39"/>
    <mergeCell ref="N40:O40"/>
    <mergeCell ref="P40:T40"/>
    <mergeCell ref="A43:C44"/>
    <mergeCell ref="T43:V43"/>
    <mergeCell ref="K43:M44"/>
    <mergeCell ref="P43:R43"/>
    <mergeCell ref="V38:Z38"/>
    <mergeCell ref="X37:Z37"/>
    <mergeCell ref="F40:J40"/>
    <mergeCell ref="A48:E48"/>
    <mergeCell ref="F46:R46"/>
    <mergeCell ref="S48:V48"/>
    <mergeCell ref="A49:E49"/>
    <mergeCell ref="S49:V49"/>
    <mergeCell ref="A46:E46"/>
    <mergeCell ref="T39:V39"/>
    <mergeCell ref="X39:Z39"/>
    <mergeCell ref="A47:E47"/>
    <mergeCell ref="A52:B61"/>
    <mergeCell ref="D53:L54"/>
    <mergeCell ref="P53:X54"/>
    <mergeCell ref="D56:F58"/>
    <mergeCell ref="G56:I58"/>
    <mergeCell ref="AA60:AF61"/>
    <mergeCell ref="C60:F61"/>
    <mergeCell ref="G60:L61"/>
    <mergeCell ref="M60:T61"/>
    <mergeCell ref="U60:Z61"/>
    <mergeCell ref="AA56:AC58"/>
    <mergeCell ref="J56:L58"/>
    <mergeCell ref="P56:R58"/>
    <mergeCell ref="S56:U58"/>
    <mergeCell ref="D55:F55"/>
    <mergeCell ref="G55:I55"/>
    <mergeCell ref="J55:L55"/>
    <mergeCell ref="P55:R55"/>
    <mergeCell ref="AA47:AL48"/>
    <mergeCell ref="AA46:AL46"/>
    <mergeCell ref="AA39:AC40"/>
    <mergeCell ref="AA53:AI54"/>
    <mergeCell ref="AD55:AL55"/>
    <mergeCell ref="S46:V46"/>
    <mergeCell ref="S55:U55"/>
    <mergeCell ref="AA55:AC55"/>
    <mergeCell ref="S47:V47"/>
    <mergeCell ref="R50:T50"/>
    <mergeCell ref="V40:Z40"/>
    <mergeCell ref="N37:O37"/>
    <mergeCell ref="N38:O38"/>
    <mergeCell ref="D38:E38"/>
    <mergeCell ref="F38:J38"/>
    <mergeCell ref="P38:T38"/>
    <mergeCell ref="A41:C42"/>
    <mergeCell ref="D41:E41"/>
    <mergeCell ref="F41:J41"/>
    <mergeCell ref="K41:M42"/>
    <mergeCell ref="N41:O41"/>
    <mergeCell ref="P41:R41"/>
    <mergeCell ref="D42:E42"/>
    <mergeCell ref="F42:J42"/>
    <mergeCell ref="N42:O42"/>
    <mergeCell ref="D40:E40"/>
    <mergeCell ref="A21:C22"/>
    <mergeCell ref="D21:E21"/>
    <mergeCell ref="F21:J21"/>
    <mergeCell ref="K21:M22"/>
    <mergeCell ref="P21:R21"/>
    <mergeCell ref="D29:E29"/>
    <mergeCell ref="F29:J29"/>
    <mergeCell ref="K29:M30"/>
    <mergeCell ref="N29:O29"/>
    <mergeCell ref="D22:E22"/>
    <mergeCell ref="F22:J22"/>
    <mergeCell ref="P22:T22"/>
    <mergeCell ref="D30:E30"/>
    <mergeCell ref="F30:J30"/>
    <mergeCell ref="N30:O30"/>
    <mergeCell ref="P30:T30"/>
    <mergeCell ref="T29:V29"/>
    <mergeCell ref="V24:Z24"/>
    <mergeCell ref="BB21:BB22"/>
    <mergeCell ref="BC21:BC22"/>
    <mergeCell ref="AV21:AV22"/>
    <mergeCell ref="AY41:AY42"/>
    <mergeCell ref="T41:V41"/>
    <mergeCell ref="X41:Z41"/>
    <mergeCell ref="AA41:AC42"/>
    <mergeCell ref="AD41:AE42"/>
    <mergeCell ref="AF41:AI42"/>
    <mergeCell ref="AJ41:AL42"/>
    <mergeCell ref="BA41:BA42"/>
    <mergeCell ref="BB41:BB42"/>
    <mergeCell ref="BC41:BC42"/>
    <mergeCell ref="P42:T42"/>
    <mergeCell ref="V42:Z42"/>
    <mergeCell ref="AT41:AT42"/>
    <mergeCell ref="AZ41:AZ42"/>
    <mergeCell ref="AU41:AU42"/>
    <mergeCell ref="AV41:AV42"/>
    <mergeCell ref="AW41:AW42"/>
    <mergeCell ref="BC23:BC24"/>
    <mergeCell ref="AU23:AU24"/>
    <mergeCell ref="AV23:AV24"/>
    <mergeCell ref="AW23:AW24"/>
    <mergeCell ref="X29:Z29"/>
    <mergeCell ref="AA29:AC30"/>
    <mergeCell ref="AT29:AT30"/>
    <mergeCell ref="AU29:AU30"/>
    <mergeCell ref="AV29:AV30"/>
    <mergeCell ref="AZ29:AZ30"/>
    <mergeCell ref="BA29:BA30"/>
    <mergeCell ref="BB29:BB30"/>
    <mergeCell ref="A29:C30"/>
    <mergeCell ref="AW29:AW30"/>
    <mergeCell ref="AX29:AX30"/>
    <mergeCell ref="AY29:AY30"/>
    <mergeCell ref="A31:C32"/>
    <mergeCell ref="D31:E31"/>
    <mergeCell ref="F31:J31"/>
    <mergeCell ref="K31:M32"/>
    <mergeCell ref="N31:O31"/>
    <mergeCell ref="D32:E32"/>
    <mergeCell ref="F32:J32"/>
    <mergeCell ref="N32:O32"/>
    <mergeCell ref="AT31:AT32"/>
    <mergeCell ref="P32:T32"/>
    <mergeCell ref="AY31:AY32"/>
    <mergeCell ref="T31:V31"/>
    <mergeCell ref="X31:Z31"/>
    <mergeCell ref="AA31:AC32"/>
    <mergeCell ref="BD33:BD34"/>
    <mergeCell ref="D34:E34"/>
    <mergeCell ref="F34:J34"/>
    <mergeCell ref="N34:O34"/>
    <mergeCell ref="P34:T34"/>
    <mergeCell ref="V34:Z34"/>
    <mergeCell ref="AT33:AT34"/>
    <mergeCell ref="AU33:AU34"/>
    <mergeCell ref="T33:V33"/>
    <mergeCell ref="P33:R33"/>
    <mergeCell ref="A33:C34"/>
    <mergeCell ref="AZ35:AZ36"/>
    <mergeCell ref="BA35:BA36"/>
    <mergeCell ref="AW33:AW34"/>
    <mergeCell ref="AX33:AX34"/>
    <mergeCell ref="AY33:AY34"/>
    <mergeCell ref="A35:C36"/>
    <mergeCell ref="D36:E36"/>
    <mergeCell ref="F36:J36"/>
    <mergeCell ref="N36:O36"/>
    <mergeCell ref="P36:T36"/>
    <mergeCell ref="V36:Z36"/>
    <mergeCell ref="AT35:AT36"/>
    <mergeCell ref="K35:M36"/>
    <mergeCell ref="N35:O35"/>
    <mergeCell ref="P35:R35"/>
    <mergeCell ref="T35:V35"/>
    <mergeCell ref="AV35:AV36"/>
    <mergeCell ref="D35:E35"/>
    <mergeCell ref="AW35:AW36"/>
    <mergeCell ref="AX35:AX36"/>
    <mergeCell ref="AY35:AY36"/>
    <mergeCell ref="F35:J35"/>
    <mergeCell ref="X35:Z35"/>
    <mergeCell ref="AA35:AC36"/>
    <mergeCell ref="AD35:AE36"/>
    <mergeCell ref="BC35:BC36"/>
    <mergeCell ref="BD35:BD36"/>
    <mergeCell ref="BB35:BB36"/>
  </mergeCells>
  <phoneticPr fontId="2"/>
  <conditionalFormatting sqref="K6:M6">
    <cfRule type="cellIs" dxfId="7" priority="1" stopIfTrue="1" operator="equal">
      <formula>""</formula>
    </cfRule>
    <cfRule type="cellIs" dxfId="6" priority="2" stopIfTrue="1" operator="equal">
      <formula>"営業担当"</formula>
    </cfRule>
  </conditionalFormatting>
  <conditionalFormatting sqref="AM6:AN6">
    <cfRule type="expression" dxfId="5" priority="3" stopIfTrue="1">
      <formula>OR(, ISBLANK(精算区分), 精算区分="本人立替")</formula>
    </cfRule>
    <cfRule type="expression" dxfId="4" priority="4" stopIfTrue="1">
      <formula>NOT(OR(, ISBLANK(精算区分), 精算区分="本人立替"))</formula>
    </cfRule>
  </conditionalFormatting>
  <dataValidations xWindow="712" yWindow="251" count="8">
    <dataValidation imeMode="off" allowBlank="1" showInputMessage="1" showErrorMessage="1" sqref="AJ25 AJ43 AF11 A15 AA19 AA17 AF25 AF43 AA15 AA41 AF17 AA23 A21 AA21 AF19 AJ15 AJ17 AJ19 AJ21 AJ23 AA43 A13 AJ37 AF37 AF27 AF9 AJ27 AA25 AJ39 AF39 AM4:AR4 AJ13 AJ11 AJ9 A19 AF23 AA9 AF21 AA27 AF13 A6:C6 A43 A39 AA37 A25 A23 AA13 AJ41 AF41 A41 A37 A9 AA29 A11 AA39 A17 AF15 AA33 AJ29 AF29 AJ31 AF31 A29 A27 AJ35 AF35 AA35 A35 AJ33 AF33 A33 AA11 AA31 A31" xr:uid="{00000000-0002-0000-0000-000000000000}"/>
    <dataValidation imeMode="hiragana" allowBlank="1" showInputMessage="1" showErrorMessage="1" sqref="V40 V24 V12 V22 V16 T25:V25 T31:V31 X15:Z15 X11:Z11 T19:V19 T41:V41 T15:V15 P19:R19 D6:I6 P31:R31 V38 P25:R25 P16 V14 X21:Z21 V32 X13:Z13 X39:Z39 V26 V10 X9:Z9 X31:Z31 T21:V21 X37:Z37 X23:Z23 T23:V23 T13:V13 P22 P33:R33 P13:R13 V34 P10 X33:Z33 P14 P12 T9:V9 V36 P15:R15 X35:Z35 P9:R9 T37:V37 P21:R21 T11:V11 P32 P24 P23:R23 P38 P37:R37 P42 T39:V39 P40 P39:R39 P11:R11 P43:R43 V20 X19:Z19 P20 X25:Z25 P41:R41 V42 X41:Z41 V44 X43:Z43 T43:V43 P44 P26 T29:V29 T33:V33 T27:V27 T35:V35 P29:R29 P27:R27 P36 V28 X27:Z27 P28 P34 P35:R35 V30 X29:Z29 P30 V18 X17:Z17 T17:V17 P18 P17:R17" xr:uid="{00000000-0002-0000-0000-000001000000}"/>
    <dataValidation imeMode="off" allowBlank="1" showInputMessage="1" showErrorMessage="1" promptTitle="領収証No. " prompt="精算書作成者が領収証につけた番号を入力します" sqref="AV45 AS45:AT45" xr:uid="{00000000-0002-0000-0000-000002000000}"/>
    <dataValidation type="list" allowBlank="1" showInputMessage="1" showErrorMessage="1" sqref="F37:J37 F33:J33 F15:J15 F23:J23 F11:J11 F9:J9 F17:J17 F43 F25:J25 F21:J21 F39:J39 F19:J19 F41:J41 F13:J13 F27:J27 F29:J29 F35 F31:J31" xr:uid="{00000000-0002-0000-0000-000003000000}">
      <formula1>"営業活動,客先作業,研修・セミナー参加,深夜帰宅,接待関連,その他会社業務"</formula1>
    </dataValidation>
    <dataValidation type="list" showInputMessage="1" showErrorMessage="1" sqref="J4:M6" xr:uid="{00000000-0002-0000-0000-000004000000}">
      <formula1>部門</formula1>
    </dataValidation>
    <dataValidation type="list" allowBlank="1" showInputMessage="1" showErrorMessage="1" sqref="K9:M44" xr:uid="{00000000-0002-0000-0000-000005000000}">
      <formula1>"電車・バス,タクシー"</formula1>
    </dataValidation>
    <dataValidation type="list" allowBlank="1" showInputMessage="1" showErrorMessage="1" sqref="AD11:AE18 AD21:AE24 AD33:AE44" xr:uid="{00000000-0002-0000-0000-000006000000}">
      <formula1>"●,"</formula1>
    </dataValidation>
    <dataValidation type="list" imeMode="off" allowBlank="1" showInputMessage="1" showErrorMessage="1" sqref="AD9:AE10 AD19:AE20 AD25:AE32" xr:uid="{00000000-0002-0000-0000-000007000000}">
      <formula1>"●, "</formula1>
    </dataValidation>
  </dataValidations>
  <pageMargins left="0.70866141732283472" right="0.70866141732283472" top="0.74803149606299213" bottom="0.74803149606299213" header="0.31496062992125984" footer="0.31496062992125984"/>
  <pageSetup paperSize="9" scale="90" orientation="portrait" blackAndWhite="1" horizontalDpi="4294967293" verticalDpi="300" r:id="rId1"/>
  <headerFooter alignWithMargins="0">
    <oddFooter>&amp;RVer.2025-04</oddFooter>
  </headerFooter>
  <colBreaks count="1" manualBreakCount="1">
    <brk id="39" max="63"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BE67"/>
  <sheetViews>
    <sheetView showGridLines="0" showZeros="0" zoomScaleNormal="100" zoomScaleSheetLayoutView="100" workbookViewId="0">
      <pane ySplit="8" topLeftCell="A9" activePane="bottomLeft" state="frozen"/>
      <selection activeCell="AS12" sqref="AS12"/>
      <selection pane="bottomLeft" activeCell="A9" sqref="A9"/>
    </sheetView>
  </sheetViews>
  <sheetFormatPr defaultColWidth="2.5546875" defaultRowHeight="3.9" customHeight="1" x14ac:dyDescent="0.2"/>
  <cols>
    <col min="1" max="1" width="9" style="12" customWidth="1"/>
    <col min="2" max="47" width="2.5546875" style="12" customWidth="1"/>
    <col min="48" max="48" width="4.88671875" style="12" bestFit="1" customWidth="1"/>
    <col min="49" max="61" width="2.5546875" style="12" customWidth="1"/>
    <col min="62" max="16384" width="2.5546875" style="12"/>
  </cols>
  <sheetData>
    <row r="1" spans="2:57" ht="24.15" customHeight="1" x14ac:dyDescent="0.2">
      <c r="B1" s="191"/>
      <c r="C1" s="191"/>
      <c r="D1" s="191"/>
      <c r="E1" s="192" t="s">
        <v>32</v>
      </c>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0"/>
      <c r="AL1" s="190"/>
      <c r="AM1" s="190"/>
      <c r="AN1" s="190"/>
      <c r="AO1" s="190"/>
      <c r="AP1" s="190"/>
      <c r="AQ1" s="190"/>
      <c r="AR1" s="190" t="str">
        <f>IF(会社名="サン・ジャパン", "JP", IF(会社名="SJホールディングス", "HD", ""))</f>
        <v/>
      </c>
      <c r="AS1" s="190"/>
    </row>
    <row r="2" spans="2:57" s="13" customFormat="1" ht="12" customHeight="1" x14ac:dyDescent="0.2">
      <c r="B2" s="199" t="s">
        <v>18</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9"/>
      <c r="AO2" s="9"/>
      <c r="AP2" s="9"/>
      <c r="AQ2" s="9"/>
      <c r="AR2" s="9"/>
      <c r="AS2" s="9"/>
    </row>
    <row r="3" spans="2:57" s="14" customFormat="1" ht="13.65" customHeight="1" x14ac:dyDescent="0.15">
      <c r="B3" s="203" t="s">
        <v>12</v>
      </c>
      <c r="C3" s="201"/>
      <c r="D3" s="202"/>
      <c r="E3" s="203" t="s">
        <v>13</v>
      </c>
      <c r="F3" s="201"/>
      <c r="G3" s="202"/>
      <c r="H3" s="240" t="s">
        <v>19</v>
      </c>
      <c r="I3" s="241"/>
      <c r="J3" s="242"/>
      <c r="K3" s="203" t="s">
        <v>20</v>
      </c>
      <c r="L3" s="201"/>
      <c r="M3" s="201"/>
      <c r="N3" s="202"/>
      <c r="O3" s="203" t="s">
        <v>21</v>
      </c>
      <c r="P3" s="201"/>
      <c r="Q3" s="201"/>
      <c r="R3" s="201"/>
      <c r="S3" s="202"/>
      <c r="T3" s="201" t="s">
        <v>22</v>
      </c>
      <c r="U3" s="201"/>
      <c r="V3" s="201"/>
      <c r="W3" s="201"/>
      <c r="X3" s="201"/>
      <c r="Y3" s="201"/>
      <c r="Z3" s="201"/>
      <c r="AA3" s="201"/>
      <c r="AB3" s="201"/>
      <c r="AC3" s="201"/>
      <c r="AD3" s="201"/>
      <c r="AE3" s="201"/>
      <c r="AF3" s="201"/>
      <c r="AG3" s="202"/>
      <c r="AH3" s="203" t="s">
        <v>17</v>
      </c>
      <c r="AI3" s="201"/>
      <c r="AJ3" s="201"/>
      <c r="AK3" s="201"/>
      <c r="AL3" s="201"/>
      <c r="AM3" s="202"/>
    </row>
    <row r="4" spans="2:57" s="14" customFormat="1" ht="13.65" customHeight="1" x14ac:dyDescent="0.15">
      <c r="B4" s="139"/>
      <c r="C4" s="140"/>
      <c r="D4" s="141"/>
      <c r="E4" s="139"/>
      <c r="F4" s="140"/>
      <c r="G4" s="141"/>
      <c r="H4" s="243"/>
      <c r="I4" s="244"/>
      <c r="J4" s="245"/>
      <c r="K4" s="231" t="s">
        <v>42</v>
      </c>
      <c r="L4" s="232"/>
      <c r="M4" s="232"/>
      <c r="N4" s="233"/>
      <c r="O4" s="231">
        <v>11</v>
      </c>
      <c r="P4" s="232"/>
      <c r="Q4" s="232"/>
      <c r="R4" s="232"/>
      <c r="S4" s="233"/>
      <c r="T4" s="222" t="s">
        <v>43</v>
      </c>
      <c r="U4" s="223"/>
      <c r="V4" s="223"/>
      <c r="W4" s="223"/>
      <c r="X4" s="223"/>
      <c r="Y4" s="223"/>
      <c r="Z4" s="223"/>
      <c r="AA4" s="223"/>
      <c r="AB4" s="223"/>
      <c r="AC4" s="223"/>
      <c r="AD4" s="224"/>
      <c r="AE4" s="204" t="s">
        <v>23</v>
      </c>
      <c r="AF4" s="205"/>
      <c r="AG4" s="206"/>
      <c r="AH4" s="213">
        <f ca="1">NOW()</f>
        <v>45761.591303819441</v>
      </c>
      <c r="AI4" s="214"/>
      <c r="AJ4" s="214"/>
      <c r="AK4" s="214"/>
      <c r="AL4" s="214"/>
      <c r="AM4" s="215"/>
    </row>
    <row r="5" spans="2:57" s="14" customFormat="1" ht="12" x14ac:dyDescent="0.15">
      <c r="B5" s="142"/>
      <c r="C5" s="143"/>
      <c r="D5" s="144"/>
      <c r="E5" s="142"/>
      <c r="F5" s="143"/>
      <c r="G5" s="144"/>
      <c r="H5" s="243"/>
      <c r="I5" s="244"/>
      <c r="J5" s="245"/>
      <c r="K5" s="234"/>
      <c r="L5" s="235"/>
      <c r="M5" s="235"/>
      <c r="N5" s="236"/>
      <c r="O5" s="234"/>
      <c r="P5" s="235"/>
      <c r="Q5" s="235"/>
      <c r="R5" s="235"/>
      <c r="S5" s="236"/>
      <c r="T5" s="225"/>
      <c r="U5" s="226"/>
      <c r="V5" s="226"/>
      <c r="W5" s="226"/>
      <c r="X5" s="226"/>
      <c r="Y5" s="226"/>
      <c r="Z5" s="226"/>
      <c r="AA5" s="226"/>
      <c r="AB5" s="226"/>
      <c r="AC5" s="226"/>
      <c r="AD5" s="227"/>
      <c r="AE5" s="207"/>
      <c r="AF5" s="208"/>
      <c r="AG5" s="209"/>
      <c r="AH5" s="216"/>
      <c r="AI5" s="217"/>
      <c r="AJ5" s="217"/>
      <c r="AK5" s="217"/>
      <c r="AL5" s="217"/>
      <c r="AM5" s="218"/>
    </row>
    <row r="6" spans="2:57" s="14" customFormat="1" ht="12" x14ac:dyDescent="0.15">
      <c r="B6" s="145"/>
      <c r="C6" s="132"/>
      <c r="D6" s="146"/>
      <c r="E6" s="145"/>
      <c r="F6" s="132"/>
      <c r="G6" s="146"/>
      <c r="H6" s="246"/>
      <c r="I6" s="247"/>
      <c r="J6" s="248"/>
      <c r="K6" s="237"/>
      <c r="L6" s="238"/>
      <c r="M6" s="238"/>
      <c r="N6" s="239"/>
      <c r="O6" s="237"/>
      <c r="P6" s="238"/>
      <c r="Q6" s="238"/>
      <c r="R6" s="238"/>
      <c r="S6" s="239"/>
      <c r="T6" s="228"/>
      <c r="U6" s="229"/>
      <c r="V6" s="229"/>
      <c r="W6" s="229"/>
      <c r="X6" s="229"/>
      <c r="Y6" s="229"/>
      <c r="Z6" s="229"/>
      <c r="AA6" s="229"/>
      <c r="AB6" s="229"/>
      <c r="AC6" s="229"/>
      <c r="AD6" s="230"/>
      <c r="AE6" s="210"/>
      <c r="AF6" s="211"/>
      <c r="AG6" s="212"/>
      <c r="AH6" s="219"/>
      <c r="AI6" s="220"/>
      <c r="AJ6" s="220"/>
      <c r="AK6" s="220"/>
      <c r="AL6" s="220"/>
      <c r="AM6" s="221"/>
    </row>
    <row r="7" spans="2:57" s="14" customFormat="1" ht="12" x14ac:dyDescent="0.15">
      <c r="B7" s="15"/>
      <c r="C7" s="15"/>
      <c r="D7" s="15"/>
      <c r="E7" s="15"/>
      <c r="F7" s="15"/>
      <c r="G7" s="15"/>
      <c r="H7" s="15"/>
      <c r="I7" s="15"/>
      <c r="J7" s="15"/>
      <c r="K7" s="15"/>
      <c r="L7" s="16"/>
      <c r="M7" s="16"/>
      <c r="N7" s="16"/>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2:57" ht="12" customHeight="1" x14ac:dyDescent="0.2">
      <c r="B8" s="176" t="s">
        <v>9</v>
      </c>
      <c r="C8" s="176"/>
      <c r="D8" s="176"/>
      <c r="E8" s="181" t="s">
        <v>8</v>
      </c>
      <c r="F8" s="179"/>
      <c r="G8" s="179"/>
      <c r="H8" s="179"/>
      <c r="I8" s="179"/>
      <c r="J8" s="179"/>
      <c r="K8" s="180"/>
      <c r="L8" s="179" t="s">
        <v>2</v>
      </c>
      <c r="M8" s="179"/>
      <c r="N8" s="180"/>
      <c r="O8" s="181" t="s">
        <v>7</v>
      </c>
      <c r="P8" s="179"/>
      <c r="Q8" s="179"/>
      <c r="R8" s="179"/>
      <c r="S8" s="179"/>
      <c r="T8" s="179"/>
      <c r="U8" s="179"/>
      <c r="V8" s="179"/>
      <c r="W8" s="179"/>
      <c r="X8" s="179"/>
      <c r="Y8" s="179"/>
      <c r="Z8" s="179"/>
      <c r="AA8" s="180"/>
      <c r="AB8" s="181" t="s">
        <v>3</v>
      </c>
      <c r="AC8" s="179"/>
      <c r="AD8" s="180"/>
      <c r="AE8" s="188" t="s">
        <v>5</v>
      </c>
      <c r="AF8" s="188"/>
      <c r="AG8" s="188" t="s">
        <v>6</v>
      </c>
      <c r="AH8" s="188"/>
      <c r="AI8" s="188"/>
      <c r="AJ8" s="188"/>
      <c r="AK8" s="181" t="s">
        <v>4</v>
      </c>
      <c r="AL8" s="179"/>
      <c r="AM8" s="180"/>
      <c r="AU8" s="6"/>
      <c r="AV8" s="6"/>
      <c r="AW8" s="6"/>
      <c r="AX8" s="6"/>
      <c r="AY8" s="6"/>
      <c r="AZ8" s="6"/>
      <c r="BA8" s="6"/>
      <c r="BB8" s="7"/>
      <c r="BC8" s="7"/>
      <c r="BD8" s="7"/>
      <c r="BE8" s="7"/>
    </row>
    <row r="9" spans="2:57" ht="14.25" customHeight="1" x14ac:dyDescent="0.2">
      <c r="B9" s="83">
        <v>39066</v>
      </c>
      <c r="C9" s="84"/>
      <c r="D9" s="85"/>
      <c r="E9" s="100" t="s">
        <v>0</v>
      </c>
      <c r="F9" s="101"/>
      <c r="G9" s="67" t="s">
        <v>33</v>
      </c>
      <c r="H9" s="68"/>
      <c r="I9" s="68"/>
      <c r="J9" s="68"/>
      <c r="K9" s="69"/>
      <c r="L9" s="79" t="s">
        <v>35</v>
      </c>
      <c r="M9" s="71"/>
      <c r="N9" s="72"/>
      <c r="O9" s="100" t="s">
        <v>40</v>
      </c>
      <c r="P9" s="101"/>
      <c r="Q9" s="194" t="s">
        <v>45</v>
      </c>
      <c r="R9" s="195"/>
      <c r="S9" s="196"/>
      <c r="T9" s="4" t="str">
        <f>IF(AE9="","⇒","⇔")</f>
        <v>⇔</v>
      </c>
      <c r="U9" s="197" t="s">
        <v>46</v>
      </c>
      <c r="V9" s="195"/>
      <c r="W9" s="196"/>
      <c r="X9" s="4" t="str">
        <f>IF(AE9="","⇒","⇔")</f>
        <v>⇔</v>
      </c>
      <c r="Y9" s="197"/>
      <c r="Z9" s="195"/>
      <c r="AA9" s="200"/>
      <c r="AB9" s="73">
        <v>360</v>
      </c>
      <c r="AC9" s="74"/>
      <c r="AD9" s="75"/>
      <c r="AE9" s="79" t="s">
        <v>36</v>
      </c>
      <c r="AF9" s="72"/>
      <c r="AG9" s="107">
        <f>IF(AND(L9="電車・バス", AE9="●"), AB9*2, IF(OR(L9="電車・バス",L9= "タクシー"), AB9, 0))</f>
        <v>720</v>
      </c>
      <c r="AH9" s="108"/>
      <c r="AI9" s="108"/>
      <c r="AJ9" s="109"/>
      <c r="AK9" s="79"/>
      <c r="AL9" s="71"/>
      <c r="AM9" s="72"/>
      <c r="AU9" s="66"/>
      <c r="AV9" s="66"/>
      <c r="AW9" s="66"/>
      <c r="AX9" s="65"/>
      <c r="AY9" s="65"/>
      <c r="AZ9" s="66"/>
      <c r="BA9" s="66"/>
      <c r="BB9" s="89"/>
      <c r="BC9" s="82"/>
      <c r="BD9" s="82"/>
      <c r="BE9" s="82"/>
    </row>
    <row r="10" spans="2:57" ht="14.25" customHeight="1" x14ac:dyDescent="0.2">
      <c r="B10" s="86"/>
      <c r="C10" s="87"/>
      <c r="D10" s="88"/>
      <c r="E10" s="90" t="s">
        <v>1</v>
      </c>
      <c r="F10" s="91"/>
      <c r="G10" s="92" t="s">
        <v>34</v>
      </c>
      <c r="H10" s="93"/>
      <c r="I10" s="93"/>
      <c r="J10" s="93"/>
      <c r="K10" s="94"/>
      <c r="L10" s="80"/>
      <c r="M10" s="99"/>
      <c r="N10" s="81"/>
      <c r="O10" s="90" t="s">
        <v>41</v>
      </c>
      <c r="P10" s="91"/>
      <c r="Q10" s="198" t="s">
        <v>47</v>
      </c>
      <c r="R10" s="95"/>
      <c r="S10" s="95"/>
      <c r="T10" s="95"/>
      <c r="U10" s="96"/>
      <c r="V10" s="5" t="str">
        <f>IF(AE9="","⇒","⇔")</f>
        <v>⇔</v>
      </c>
      <c r="W10" s="97"/>
      <c r="X10" s="95"/>
      <c r="Y10" s="95"/>
      <c r="Z10" s="95"/>
      <c r="AA10" s="98"/>
      <c r="AB10" s="76"/>
      <c r="AC10" s="77"/>
      <c r="AD10" s="78"/>
      <c r="AE10" s="80"/>
      <c r="AF10" s="81"/>
      <c r="AG10" s="110"/>
      <c r="AH10" s="111"/>
      <c r="AI10" s="111"/>
      <c r="AJ10" s="112"/>
      <c r="AK10" s="80"/>
      <c r="AL10" s="99"/>
      <c r="AM10" s="81"/>
      <c r="AU10" s="66"/>
      <c r="AV10" s="66"/>
      <c r="AW10" s="66"/>
      <c r="AX10" s="65"/>
      <c r="AY10" s="65"/>
      <c r="AZ10" s="66"/>
      <c r="BA10" s="66"/>
      <c r="BB10" s="89"/>
      <c r="BC10" s="82"/>
      <c r="BD10" s="82"/>
      <c r="BE10" s="82"/>
    </row>
    <row r="11" spans="2:57" ht="14.25" customHeight="1" x14ac:dyDescent="0.2">
      <c r="B11" s="83">
        <v>39069</v>
      </c>
      <c r="C11" s="84"/>
      <c r="D11" s="85"/>
      <c r="E11" s="100" t="s">
        <v>0</v>
      </c>
      <c r="F11" s="101"/>
      <c r="G11" s="67" t="s">
        <v>37</v>
      </c>
      <c r="H11" s="68"/>
      <c r="I11" s="68"/>
      <c r="J11" s="68"/>
      <c r="K11" s="69"/>
      <c r="L11" s="79" t="s">
        <v>38</v>
      </c>
      <c r="M11" s="71"/>
      <c r="N11" s="72"/>
      <c r="O11" s="100" t="s">
        <v>40</v>
      </c>
      <c r="P11" s="101"/>
      <c r="Q11" s="194" t="s">
        <v>45</v>
      </c>
      <c r="R11" s="195"/>
      <c r="S11" s="196"/>
      <c r="T11" s="4" t="str">
        <f>IF(AE11="","⇒","⇔")</f>
        <v>⇒</v>
      </c>
      <c r="U11" s="197" t="s">
        <v>44</v>
      </c>
      <c r="V11" s="195"/>
      <c r="W11" s="196"/>
      <c r="X11" s="4" t="str">
        <f>IF(AE11="","⇒","⇔")</f>
        <v>⇒</v>
      </c>
      <c r="Y11" s="197"/>
      <c r="Z11" s="195"/>
      <c r="AA11" s="200"/>
      <c r="AB11" s="73">
        <v>5000</v>
      </c>
      <c r="AC11" s="74"/>
      <c r="AD11" s="75"/>
      <c r="AE11" s="79"/>
      <c r="AF11" s="72"/>
      <c r="AG11" s="107">
        <f>IF(AND(L11="電車・バス", AE11="●"), AB11*2, IF(OR(L11="電車・バス",L11= "タクシー"), AB11, 0))</f>
        <v>5000</v>
      </c>
      <c r="AH11" s="108"/>
      <c r="AI11" s="108"/>
      <c r="AJ11" s="109"/>
      <c r="AK11" s="79">
        <v>1</v>
      </c>
      <c r="AL11" s="71"/>
      <c r="AM11" s="72"/>
      <c r="AU11" s="66"/>
      <c r="AV11" s="66"/>
      <c r="AW11" s="66"/>
      <c r="AX11" s="65"/>
      <c r="AY11" s="65"/>
      <c r="AZ11" s="66"/>
      <c r="BA11" s="66"/>
      <c r="BB11" s="89"/>
      <c r="BC11" s="82"/>
      <c r="BD11" s="82"/>
      <c r="BE11" s="82"/>
    </row>
    <row r="12" spans="2:57" ht="14.25" customHeight="1" x14ac:dyDescent="0.2">
      <c r="B12" s="86"/>
      <c r="C12" s="87"/>
      <c r="D12" s="88"/>
      <c r="E12" s="90" t="s">
        <v>1</v>
      </c>
      <c r="F12" s="91"/>
      <c r="G12" s="92" t="s">
        <v>44</v>
      </c>
      <c r="H12" s="93"/>
      <c r="I12" s="93"/>
      <c r="J12" s="93"/>
      <c r="K12" s="94"/>
      <c r="L12" s="80"/>
      <c r="M12" s="99"/>
      <c r="N12" s="81"/>
      <c r="O12" s="90" t="s">
        <v>41</v>
      </c>
      <c r="P12" s="91"/>
      <c r="Q12" s="198"/>
      <c r="R12" s="95"/>
      <c r="S12" s="95"/>
      <c r="T12" s="95"/>
      <c r="U12" s="96"/>
      <c r="V12" s="5" t="str">
        <f>IF(AE11="","⇒","⇔")</f>
        <v>⇒</v>
      </c>
      <c r="W12" s="97"/>
      <c r="X12" s="95"/>
      <c r="Y12" s="95"/>
      <c r="Z12" s="95"/>
      <c r="AA12" s="98"/>
      <c r="AB12" s="76"/>
      <c r="AC12" s="77"/>
      <c r="AD12" s="78"/>
      <c r="AE12" s="80"/>
      <c r="AF12" s="81"/>
      <c r="AG12" s="110"/>
      <c r="AH12" s="111"/>
      <c r="AI12" s="111"/>
      <c r="AJ12" s="112"/>
      <c r="AK12" s="80"/>
      <c r="AL12" s="99"/>
      <c r="AM12" s="81"/>
      <c r="AU12" s="66"/>
      <c r="AV12" s="66"/>
      <c r="AW12" s="66"/>
      <c r="AX12" s="65"/>
      <c r="AY12" s="65"/>
      <c r="AZ12" s="66"/>
      <c r="BA12" s="66"/>
      <c r="BB12" s="89"/>
      <c r="BC12" s="82"/>
      <c r="BD12" s="82"/>
      <c r="BE12" s="82"/>
    </row>
    <row r="13" spans="2:57" ht="14.25" customHeight="1" x14ac:dyDescent="0.2">
      <c r="B13" s="83"/>
      <c r="C13" s="84"/>
      <c r="D13" s="85"/>
      <c r="E13" s="100" t="s">
        <v>0</v>
      </c>
      <c r="F13" s="101"/>
      <c r="G13" s="67"/>
      <c r="H13" s="68"/>
      <c r="I13" s="68"/>
      <c r="J13" s="68"/>
      <c r="K13" s="69"/>
      <c r="L13" s="79"/>
      <c r="M13" s="71"/>
      <c r="N13" s="72"/>
      <c r="O13" s="100" t="s">
        <v>40</v>
      </c>
      <c r="P13" s="101"/>
      <c r="Q13" s="194"/>
      <c r="R13" s="195"/>
      <c r="S13" s="196"/>
      <c r="T13" s="4" t="str">
        <f>IF(AE13="","⇒","⇔")</f>
        <v>⇒</v>
      </c>
      <c r="U13" s="197"/>
      <c r="V13" s="195"/>
      <c r="W13" s="196"/>
      <c r="X13" s="4" t="str">
        <f>IF(AE13="","⇒","⇔")</f>
        <v>⇒</v>
      </c>
      <c r="Y13" s="197"/>
      <c r="Z13" s="195"/>
      <c r="AA13" s="200"/>
      <c r="AB13" s="73"/>
      <c r="AC13" s="74"/>
      <c r="AD13" s="75"/>
      <c r="AE13" s="79"/>
      <c r="AF13" s="72"/>
      <c r="AG13" s="107">
        <f>IF(AND(L13="電車・バス", AE13="●"), AB13*2, IF(OR(L13="電車・バス",L13= "タクシー"), AB13, 0))</f>
        <v>0</v>
      </c>
      <c r="AH13" s="108"/>
      <c r="AI13" s="108"/>
      <c r="AJ13" s="109"/>
      <c r="AK13" s="79"/>
      <c r="AL13" s="71"/>
      <c r="AM13" s="72"/>
      <c r="AU13" s="66"/>
      <c r="AV13" s="66"/>
      <c r="AW13" s="66"/>
      <c r="AX13" s="65"/>
      <c r="AY13" s="65"/>
      <c r="AZ13" s="66"/>
      <c r="BA13" s="66"/>
      <c r="BB13" s="89"/>
      <c r="BC13" s="82"/>
      <c r="BD13" s="82"/>
      <c r="BE13" s="82"/>
    </row>
    <row r="14" spans="2:57" ht="14.25" customHeight="1" x14ac:dyDescent="0.2">
      <c r="B14" s="86"/>
      <c r="C14" s="87"/>
      <c r="D14" s="88"/>
      <c r="E14" s="90" t="s">
        <v>1</v>
      </c>
      <c r="F14" s="91"/>
      <c r="G14" s="92"/>
      <c r="H14" s="93"/>
      <c r="I14" s="93"/>
      <c r="J14" s="93"/>
      <c r="K14" s="94"/>
      <c r="L14" s="80"/>
      <c r="M14" s="99"/>
      <c r="N14" s="81"/>
      <c r="O14" s="90" t="s">
        <v>41</v>
      </c>
      <c r="P14" s="91"/>
      <c r="Q14" s="198"/>
      <c r="R14" s="95"/>
      <c r="S14" s="95"/>
      <c r="T14" s="95"/>
      <c r="U14" s="96"/>
      <c r="V14" s="5" t="str">
        <f>IF(AE13="","⇒","⇔")</f>
        <v>⇒</v>
      </c>
      <c r="W14" s="97"/>
      <c r="X14" s="95"/>
      <c r="Y14" s="95"/>
      <c r="Z14" s="95"/>
      <c r="AA14" s="98"/>
      <c r="AB14" s="76"/>
      <c r="AC14" s="77"/>
      <c r="AD14" s="78"/>
      <c r="AE14" s="80"/>
      <c r="AF14" s="81"/>
      <c r="AG14" s="110"/>
      <c r="AH14" s="111"/>
      <c r="AI14" s="111"/>
      <c r="AJ14" s="112"/>
      <c r="AK14" s="80"/>
      <c r="AL14" s="99"/>
      <c r="AM14" s="81"/>
      <c r="AU14" s="66"/>
      <c r="AV14" s="66"/>
      <c r="AW14" s="66"/>
      <c r="AX14" s="65"/>
      <c r="AY14" s="65"/>
      <c r="AZ14" s="66"/>
      <c r="BA14" s="66"/>
      <c r="BB14" s="89"/>
      <c r="BC14" s="82"/>
      <c r="BD14" s="82"/>
      <c r="BE14" s="82"/>
    </row>
    <row r="15" spans="2:57" ht="14.25" customHeight="1" x14ac:dyDescent="0.2">
      <c r="B15" s="83"/>
      <c r="C15" s="84"/>
      <c r="D15" s="85"/>
      <c r="E15" s="100" t="s">
        <v>0</v>
      </c>
      <c r="F15" s="101"/>
      <c r="G15" s="67"/>
      <c r="H15" s="68"/>
      <c r="I15" s="68"/>
      <c r="J15" s="68"/>
      <c r="K15" s="69"/>
      <c r="L15" s="79"/>
      <c r="M15" s="71"/>
      <c r="N15" s="72"/>
      <c r="O15" s="100" t="s">
        <v>40</v>
      </c>
      <c r="P15" s="101"/>
      <c r="Q15" s="194"/>
      <c r="R15" s="195"/>
      <c r="S15" s="196"/>
      <c r="T15" s="4" t="str">
        <f>IF(AE15="","⇒","⇔")</f>
        <v>⇒</v>
      </c>
      <c r="U15" s="197"/>
      <c r="V15" s="195"/>
      <c r="W15" s="196"/>
      <c r="X15" s="4" t="str">
        <f>IF(AE15="","⇒","⇔")</f>
        <v>⇒</v>
      </c>
      <c r="Y15" s="197"/>
      <c r="Z15" s="195"/>
      <c r="AA15" s="200"/>
      <c r="AB15" s="73"/>
      <c r="AC15" s="74"/>
      <c r="AD15" s="75"/>
      <c r="AE15" s="79"/>
      <c r="AF15" s="72"/>
      <c r="AG15" s="107">
        <f>IF(AND(L15="電車・バス", AE15="●"), AB15*2, IF(OR(L15="電車・バス",L15= "タクシー"), AB15, 0))</f>
        <v>0</v>
      </c>
      <c r="AH15" s="108"/>
      <c r="AI15" s="108"/>
      <c r="AJ15" s="109"/>
      <c r="AK15" s="79"/>
      <c r="AL15" s="71"/>
      <c r="AM15" s="72"/>
      <c r="AU15" s="66"/>
      <c r="AV15" s="66"/>
      <c r="AW15" s="66"/>
      <c r="AX15" s="65"/>
      <c r="AY15" s="65"/>
      <c r="AZ15" s="66"/>
      <c r="BA15" s="66"/>
      <c r="BB15" s="89"/>
      <c r="BC15" s="82"/>
      <c r="BD15" s="82"/>
      <c r="BE15" s="82"/>
    </row>
    <row r="16" spans="2:57" ht="14.25" customHeight="1" x14ac:dyDescent="0.2">
      <c r="B16" s="86"/>
      <c r="C16" s="87"/>
      <c r="D16" s="88"/>
      <c r="E16" s="90" t="s">
        <v>1</v>
      </c>
      <c r="F16" s="91"/>
      <c r="G16" s="92"/>
      <c r="H16" s="93"/>
      <c r="I16" s="93"/>
      <c r="J16" s="93"/>
      <c r="K16" s="94"/>
      <c r="L16" s="80"/>
      <c r="M16" s="99"/>
      <c r="N16" s="81"/>
      <c r="O16" s="90" t="s">
        <v>41</v>
      </c>
      <c r="P16" s="91"/>
      <c r="Q16" s="198"/>
      <c r="R16" s="95"/>
      <c r="S16" s="95"/>
      <c r="T16" s="95"/>
      <c r="U16" s="96"/>
      <c r="V16" s="5" t="str">
        <f>IF(AE15="","⇒","⇔")</f>
        <v>⇒</v>
      </c>
      <c r="W16" s="97"/>
      <c r="X16" s="95"/>
      <c r="Y16" s="95"/>
      <c r="Z16" s="95"/>
      <c r="AA16" s="98"/>
      <c r="AB16" s="76"/>
      <c r="AC16" s="77"/>
      <c r="AD16" s="78"/>
      <c r="AE16" s="80"/>
      <c r="AF16" s="81"/>
      <c r="AG16" s="110"/>
      <c r="AH16" s="111"/>
      <c r="AI16" s="111"/>
      <c r="AJ16" s="112"/>
      <c r="AK16" s="80"/>
      <c r="AL16" s="99"/>
      <c r="AM16" s="81"/>
      <c r="AU16" s="66"/>
      <c r="AV16" s="66"/>
      <c r="AW16" s="66"/>
      <c r="AX16" s="65"/>
      <c r="AY16" s="65"/>
      <c r="AZ16" s="66"/>
      <c r="BA16" s="66"/>
      <c r="BB16" s="89"/>
      <c r="BC16" s="82"/>
      <c r="BD16" s="82"/>
      <c r="BE16" s="82"/>
    </row>
    <row r="17" spans="2:57" ht="14.25" customHeight="1" x14ac:dyDescent="0.2">
      <c r="B17" s="83"/>
      <c r="C17" s="84"/>
      <c r="D17" s="85"/>
      <c r="E17" s="100" t="s">
        <v>0</v>
      </c>
      <c r="F17" s="101"/>
      <c r="G17" s="67"/>
      <c r="H17" s="68"/>
      <c r="I17" s="68"/>
      <c r="J17" s="68"/>
      <c r="K17" s="69"/>
      <c r="L17" s="79"/>
      <c r="M17" s="71"/>
      <c r="N17" s="72"/>
      <c r="O17" s="100" t="s">
        <v>40</v>
      </c>
      <c r="P17" s="101"/>
      <c r="Q17" s="194"/>
      <c r="R17" s="195"/>
      <c r="S17" s="196"/>
      <c r="T17" s="4" t="str">
        <f>IF(AE17="","⇒","⇔")</f>
        <v>⇒</v>
      </c>
      <c r="U17" s="197"/>
      <c r="V17" s="195"/>
      <c r="W17" s="196"/>
      <c r="X17" s="4" t="str">
        <f>IF(AE17="","⇒","⇔")</f>
        <v>⇒</v>
      </c>
      <c r="Y17" s="197"/>
      <c r="Z17" s="195"/>
      <c r="AA17" s="200"/>
      <c r="AB17" s="73"/>
      <c r="AC17" s="74"/>
      <c r="AD17" s="75"/>
      <c r="AE17" s="79"/>
      <c r="AF17" s="72"/>
      <c r="AG17" s="107">
        <f>IF(AND(L17="電車・バス", AE17="●"), AB17*2, IF(OR(L17="電車・バス",L17= "タクシー"), AB17, 0))</f>
        <v>0</v>
      </c>
      <c r="AH17" s="108"/>
      <c r="AI17" s="108"/>
      <c r="AJ17" s="109"/>
      <c r="AK17" s="79"/>
      <c r="AL17" s="71"/>
      <c r="AM17" s="72"/>
      <c r="AU17" s="66"/>
      <c r="AV17" s="66"/>
      <c r="AW17" s="66"/>
      <c r="AX17" s="65"/>
      <c r="AY17" s="65"/>
      <c r="AZ17" s="66"/>
      <c r="BA17" s="66"/>
      <c r="BB17" s="89"/>
      <c r="BC17" s="82"/>
      <c r="BD17" s="82"/>
      <c r="BE17" s="82"/>
    </row>
    <row r="18" spans="2:57" ht="14.25" customHeight="1" x14ac:dyDescent="0.2">
      <c r="B18" s="86"/>
      <c r="C18" s="87"/>
      <c r="D18" s="88"/>
      <c r="E18" s="90" t="s">
        <v>1</v>
      </c>
      <c r="F18" s="91"/>
      <c r="G18" s="92"/>
      <c r="H18" s="93"/>
      <c r="I18" s="93"/>
      <c r="J18" s="93"/>
      <c r="K18" s="94"/>
      <c r="L18" s="80"/>
      <c r="M18" s="99"/>
      <c r="N18" s="81"/>
      <c r="O18" s="90" t="s">
        <v>41</v>
      </c>
      <c r="P18" s="91"/>
      <c r="Q18" s="198"/>
      <c r="R18" s="95"/>
      <c r="S18" s="95"/>
      <c r="T18" s="95"/>
      <c r="U18" s="96"/>
      <c r="V18" s="5" t="str">
        <f>IF(AE17="","⇒","⇔")</f>
        <v>⇒</v>
      </c>
      <c r="W18" s="97"/>
      <c r="X18" s="95"/>
      <c r="Y18" s="95"/>
      <c r="Z18" s="95"/>
      <c r="AA18" s="98"/>
      <c r="AB18" s="76"/>
      <c r="AC18" s="77"/>
      <c r="AD18" s="78"/>
      <c r="AE18" s="80"/>
      <c r="AF18" s="81"/>
      <c r="AG18" s="110"/>
      <c r="AH18" s="111"/>
      <c r="AI18" s="111"/>
      <c r="AJ18" s="112"/>
      <c r="AK18" s="80"/>
      <c r="AL18" s="99"/>
      <c r="AM18" s="81"/>
      <c r="AU18" s="66"/>
      <c r="AV18" s="66"/>
      <c r="AW18" s="66"/>
      <c r="AX18" s="65"/>
      <c r="AY18" s="65"/>
      <c r="AZ18" s="66"/>
      <c r="BA18" s="66"/>
      <c r="BB18" s="89"/>
      <c r="BC18" s="82"/>
      <c r="BD18" s="82"/>
      <c r="BE18" s="82"/>
    </row>
    <row r="19" spans="2:57" ht="14.25" customHeight="1" x14ac:dyDescent="0.2">
      <c r="B19" s="83"/>
      <c r="C19" s="84"/>
      <c r="D19" s="85"/>
      <c r="E19" s="100" t="s">
        <v>0</v>
      </c>
      <c r="F19" s="101"/>
      <c r="G19" s="67"/>
      <c r="H19" s="68"/>
      <c r="I19" s="68"/>
      <c r="J19" s="68"/>
      <c r="K19" s="69"/>
      <c r="L19" s="79"/>
      <c r="M19" s="71"/>
      <c r="N19" s="72"/>
      <c r="O19" s="100" t="s">
        <v>40</v>
      </c>
      <c r="P19" s="101"/>
      <c r="Q19" s="194"/>
      <c r="R19" s="195"/>
      <c r="S19" s="196"/>
      <c r="T19" s="4" t="str">
        <f>IF(AE19="","⇒","⇔")</f>
        <v>⇒</v>
      </c>
      <c r="U19" s="197"/>
      <c r="V19" s="195"/>
      <c r="W19" s="196"/>
      <c r="X19" s="4" t="str">
        <f>IF(AE19="","⇒","⇔")</f>
        <v>⇒</v>
      </c>
      <c r="Y19" s="197"/>
      <c r="Z19" s="195"/>
      <c r="AA19" s="200"/>
      <c r="AB19" s="73"/>
      <c r="AC19" s="74"/>
      <c r="AD19" s="75"/>
      <c r="AE19" s="79"/>
      <c r="AF19" s="72"/>
      <c r="AG19" s="107">
        <f>IF(AND(L19="電車・バス", AE19="●"), AB19*2, IF(OR(L19="電車・バス",L19= "タクシー"), AB19, 0))</f>
        <v>0</v>
      </c>
      <c r="AH19" s="108"/>
      <c r="AI19" s="108"/>
      <c r="AJ19" s="109"/>
      <c r="AK19" s="79"/>
      <c r="AL19" s="71"/>
      <c r="AM19" s="72"/>
      <c r="AU19" s="66"/>
      <c r="AV19" s="66"/>
      <c r="AW19" s="66"/>
      <c r="AX19" s="65"/>
      <c r="AY19" s="65"/>
      <c r="AZ19" s="66"/>
      <c r="BA19" s="66"/>
      <c r="BB19" s="89"/>
      <c r="BC19" s="82"/>
      <c r="BD19" s="82"/>
      <c r="BE19" s="82"/>
    </row>
    <row r="20" spans="2:57" ht="14.25" customHeight="1" x14ac:dyDescent="0.2">
      <c r="B20" s="86"/>
      <c r="C20" s="87"/>
      <c r="D20" s="88"/>
      <c r="E20" s="90" t="s">
        <v>1</v>
      </c>
      <c r="F20" s="91"/>
      <c r="G20" s="92"/>
      <c r="H20" s="93"/>
      <c r="I20" s="93"/>
      <c r="J20" s="93"/>
      <c r="K20" s="94"/>
      <c r="L20" s="80"/>
      <c r="M20" s="99"/>
      <c r="N20" s="81"/>
      <c r="O20" s="90" t="s">
        <v>41</v>
      </c>
      <c r="P20" s="91"/>
      <c r="Q20" s="198"/>
      <c r="R20" s="95"/>
      <c r="S20" s="95"/>
      <c r="T20" s="95"/>
      <c r="U20" s="96"/>
      <c r="V20" s="5" t="str">
        <f>IF(AE19="","⇒","⇔")</f>
        <v>⇒</v>
      </c>
      <c r="W20" s="97"/>
      <c r="X20" s="95"/>
      <c r="Y20" s="95"/>
      <c r="Z20" s="95"/>
      <c r="AA20" s="98"/>
      <c r="AB20" s="76"/>
      <c r="AC20" s="77"/>
      <c r="AD20" s="78"/>
      <c r="AE20" s="80"/>
      <c r="AF20" s="81"/>
      <c r="AG20" s="110"/>
      <c r="AH20" s="111"/>
      <c r="AI20" s="111"/>
      <c r="AJ20" s="112"/>
      <c r="AK20" s="80"/>
      <c r="AL20" s="99"/>
      <c r="AM20" s="81"/>
      <c r="AU20" s="66"/>
      <c r="AV20" s="66"/>
      <c r="AW20" s="66"/>
      <c r="AX20" s="65"/>
      <c r="AY20" s="65"/>
      <c r="AZ20" s="66"/>
      <c r="BA20" s="66"/>
      <c r="BB20" s="89"/>
      <c r="BC20" s="82"/>
      <c r="BD20" s="82"/>
      <c r="BE20" s="82"/>
    </row>
    <row r="21" spans="2:57" ht="14.25" customHeight="1" x14ac:dyDescent="0.2">
      <c r="B21" s="83"/>
      <c r="C21" s="84"/>
      <c r="D21" s="85"/>
      <c r="E21" s="100" t="s">
        <v>0</v>
      </c>
      <c r="F21" s="101"/>
      <c r="G21" s="67"/>
      <c r="H21" s="68"/>
      <c r="I21" s="68"/>
      <c r="J21" s="68"/>
      <c r="K21" s="69"/>
      <c r="L21" s="79"/>
      <c r="M21" s="71"/>
      <c r="N21" s="72"/>
      <c r="O21" s="100" t="s">
        <v>40</v>
      </c>
      <c r="P21" s="101"/>
      <c r="Q21" s="194"/>
      <c r="R21" s="195"/>
      <c r="S21" s="196"/>
      <c r="T21" s="4" t="str">
        <f>IF(AE21="","⇒","⇔")</f>
        <v>⇒</v>
      </c>
      <c r="U21" s="197"/>
      <c r="V21" s="195"/>
      <c r="W21" s="196"/>
      <c r="X21" s="4" t="str">
        <f>IF(AE21="","⇒","⇔")</f>
        <v>⇒</v>
      </c>
      <c r="Y21" s="197"/>
      <c r="Z21" s="195"/>
      <c r="AA21" s="200"/>
      <c r="AB21" s="73"/>
      <c r="AC21" s="74"/>
      <c r="AD21" s="75"/>
      <c r="AE21" s="79"/>
      <c r="AF21" s="72"/>
      <c r="AG21" s="107">
        <f>IF(AND(L21="電車・バス", AE21="●"), AB21*2, IF(OR(L21="電車・バス",L21= "タクシー"), AB21, 0))</f>
        <v>0</v>
      </c>
      <c r="AH21" s="108"/>
      <c r="AI21" s="108"/>
      <c r="AJ21" s="109"/>
      <c r="AK21" s="79"/>
      <c r="AL21" s="71"/>
      <c r="AM21" s="72"/>
      <c r="AU21" s="66"/>
      <c r="AV21" s="66"/>
      <c r="AW21" s="66"/>
      <c r="AX21" s="65"/>
      <c r="AY21" s="65"/>
      <c r="AZ21" s="66"/>
      <c r="BA21" s="66"/>
      <c r="BB21" s="89"/>
      <c r="BC21" s="82"/>
      <c r="BD21" s="82"/>
      <c r="BE21" s="82"/>
    </row>
    <row r="22" spans="2:57" ht="14.25" customHeight="1" x14ac:dyDescent="0.2">
      <c r="B22" s="86"/>
      <c r="C22" s="87"/>
      <c r="D22" s="88"/>
      <c r="E22" s="90" t="s">
        <v>1</v>
      </c>
      <c r="F22" s="91"/>
      <c r="G22" s="92"/>
      <c r="H22" s="93"/>
      <c r="I22" s="93"/>
      <c r="J22" s="93"/>
      <c r="K22" s="94"/>
      <c r="L22" s="80"/>
      <c r="M22" s="99"/>
      <c r="N22" s="81"/>
      <c r="O22" s="90" t="s">
        <v>41</v>
      </c>
      <c r="P22" s="91"/>
      <c r="Q22" s="198"/>
      <c r="R22" s="95"/>
      <c r="S22" s="95"/>
      <c r="T22" s="95"/>
      <c r="U22" s="96"/>
      <c r="V22" s="5" t="str">
        <f>IF(AE21="","⇒","⇔")</f>
        <v>⇒</v>
      </c>
      <c r="W22" s="97"/>
      <c r="X22" s="95"/>
      <c r="Y22" s="95"/>
      <c r="Z22" s="95"/>
      <c r="AA22" s="98"/>
      <c r="AB22" s="76"/>
      <c r="AC22" s="77"/>
      <c r="AD22" s="78"/>
      <c r="AE22" s="80"/>
      <c r="AF22" s="81"/>
      <c r="AG22" s="110"/>
      <c r="AH22" s="111"/>
      <c r="AI22" s="111"/>
      <c r="AJ22" s="112"/>
      <c r="AK22" s="80"/>
      <c r="AL22" s="99"/>
      <c r="AM22" s="81"/>
      <c r="AU22" s="66"/>
      <c r="AV22" s="66"/>
      <c r="AW22" s="66"/>
      <c r="AX22" s="65"/>
      <c r="AY22" s="65"/>
      <c r="AZ22" s="66"/>
      <c r="BA22" s="66"/>
      <c r="BB22" s="89"/>
      <c r="BC22" s="82"/>
      <c r="BD22" s="82"/>
      <c r="BE22" s="82"/>
    </row>
    <row r="23" spans="2:57" ht="14.25" customHeight="1" x14ac:dyDescent="0.2">
      <c r="B23" s="83"/>
      <c r="C23" s="84"/>
      <c r="D23" s="85"/>
      <c r="E23" s="100" t="s">
        <v>0</v>
      </c>
      <c r="F23" s="101"/>
      <c r="G23" s="67"/>
      <c r="H23" s="68"/>
      <c r="I23" s="68"/>
      <c r="J23" s="68"/>
      <c r="K23" s="69"/>
      <c r="L23" s="79"/>
      <c r="M23" s="71"/>
      <c r="N23" s="72"/>
      <c r="O23" s="100" t="s">
        <v>40</v>
      </c>
      <c r="P23" s="101"/>
      <c r="Q23" s="194"/>
      <c r="R23" s="195"/>
      <c r="S23" s="196"/>
      <c r="T23" s="4" t="str">
        <f>IF(AE23="","⇒","⇔")</f>
        <v>⇒</v>
      </c>
      <c r="U23" s="197"/>
      <c r="V23" s="195"/>
      <c r="W23" s="196"/>
      <c r="X23" s="4" t="str">
        <f>IF(AE23="","⇒","⇔")</f>
        <v>⇒</v>
      </c>
      <c r="Y23" s="197"/>
      <c r="Z23" s="195"/>
      <c r="AA23" s="200"/>
      <c r="AB23" s="73"/>
      <c r="AC23" s="74"/>
      <c r="AD23" s="75"/>
      <c r="AE23" s="79"/>
      <c r="AF23" s="72"/>
      <c r="AG23" s="107">
        <f>IF(AND(L23="電車・バス", AE23="●"), AB23*2, IF(OR(L23="電車・バス",L23= "タクシー"), AB23, 0))</f>
        <v>0</v>
      </c>
      <c r="AH23" s="108"/>
      <c r="AI23" s="108"/>
      <c r="AJ23" s="109"/>
      <c r="AK23" s="79"/>
      <c r="AL23" s="71"/>
      <c r="AM23" s="72"/>
      <c r="AU23" s="66"/>
      <c r="AV23" s="66"/>
      <c r="AW23" s="66"/>
      <c r="AX23" s="65"/>
      <c r="AY23" s="65"/>
      <c r="AZ23" s="66"/>
      <c r="BA23" s="66"/>
      <c r="BB23" s="89"/>
      <c r="BC23" s="82"/>
      <c r="BD23" s="82"/>
      <c r="BE23" s="82"/>
    </row>
    <row r="24" spans="2:57" ht="14.25" customHeight="1" x14ac:dyDescent="0.2">
      <c r="B24" s="86"/>
      <c r="C24" s="87"/>
      <c r="D24" s="88"/>
      <c r="E24" s="90" t="s">
        <v>1</v>
      </c>
      <c r="F24" s="91"/>
      <c r="G24" s="92"/>
      <c r="H24" s="93"/>
      <c r="I24" s="93"/>
      <c r="J24" s="93"/>
      <c r="K24" s="94"/>
      <c r="L24" s="80"/>
      <c r="M24" s="99"/>
      <c r="N24" s="81"/>
      <c r="O24" s="90" t="s">
        <v>41</v>
      </c>
      <c r="P24" s="91"/>
      <c r="Q24" s="198"/>
      <c r="R24" s="95"/>
      <c r="S24" s="95"/>
      <c r="T24" s="95"/>
      <c r="U24" s="96"/>
      <c r="V24" s="5" t="str">
        <f>IF(AE23="","⇒","⇔")</f>
        <v>⇒</v>
      </c>
      <c r="W24" s="97"/>
      <c r="X24" s="95"/>
      <c r="Y24" s="95"/>
      <c r="Z24" s="95"/>
      <c r="AA24" s="98"/>
      <c r="AB24" s="76"/>
      <c r="AC24" s="77"/>
      <c r="AD24" s="78"/>
      <c r="AE24" s="80"/>
      <c r="AF24" s="81"/>
      <c r="AG24" s="110"/>
      <c r="AH24" s="111"/>
      <c r="AI24" s="111"/>
      <c r="AJ24" s="112"/>
      <c r="AK24" s="80"/>
      <c r="AL24" s="99"/>
      <c r="AM24" s="81"/>
      <c r="AU24" s="66"/>
      <c r="AV24" s="66"/>
      <c r="AW24" s="66"/>
      <c r="AX24" s="65"/>
      <c r="AY24" s="65"/>
      <c r="AZ24" s="66"/>
      <c r="BA24" s="66"/>
      <c r="BB24" s="89"/>
      <c r="BC24" s="82"/>
      <c r="BD24" s="82"/>
      <c r="BE24" s="82"/>
    </row>
    <row r="25" spans="2:57" ht="14.25" customHeight="1" x14ac:dyDescent="0.2">
      <c r="B25" s="83"/>
      <c r="C25" s="84"/>
      <c r="D25" s="85"/>
      <c r="E25" s="100" t="s">
        <v>0</v>
      </c>
      <c r="F25" s="101"/>
      <c r="G25" s="67"/>
      <c r="H25" s="68"/>
      <c r="I25" s="68"/>
      <c r="J25" s="68"/>
      <c r="K25" s="69"/>
      <c r="L25" s="79"/>
      <c r="M25" s="71"/>
      <c r="N25" s="72"/>
      <c r="O25" s="100" t="s">
        <v>40</v>
      </c>
      <c r="P25" s="101"/>
      <c r="Q25" s="194"/>
      <c r="R25" s="195"/>
      <c r="S25" s="196"/>
      <c r="T25" s="4" t="str">
        <f>IF(AE25="","⇒","⇔")</f>
        <v>⇒</v>
      </c>
      <c r="U25" s="197"/>
      <c r="V25" s="195"/>
      <c r="W25" s="196"/>
      <c r="X25" s="4" t="str">
        <f>IF(AE25="","⇒","⇔")</f>
        <v>⇒</v>
      </c>
      <c r="Y25" s="197"/>
      <c r="Z25" s="195"/>
      <c r="AA25" s="200"/>
      <c r="AB25" s="73"/>
      <c r="AC25" s="74"/>
      <c r="AD25" s="75"/>
      <c r="AE25" s="79"/>
      <c r="AF25" s="72"/>
      <c r="AG25" s="107">
        <f>IF(AND(L25="電車・バス", AE25="●"), AB25*2, IF(OR(L25="電車・バス",L25= "タクシー"), AB25, 0))</f>
        <v>0</v>
      </c>
      <c r="AH25" s="108"/>
      <c r="AI25" s="108"/>
      <c r="AJ25" s="109"/>
      <c r="AK25" s="79"/>
      <c r="AL25" s="71"/>
      <c r="AM25" s="72"/>
      <c r="AU25" s="66"/>
      <c r="AV25" s="66"/>
      <c r="AW25" s="66"/>
      <c r="AX25" s="65"/>
      <c r="AY25" s="65"/>
      <c r="AZ25" s="66"/>
      <c r="BA25" s="66"/>
      <c r="BB25" s="89"/>
      <c r="BC25" s="82"/>
      <c r="BD25" s="82"/>
      <c r="BE25" s="82"/>
    </row>
    <row r="26" spans="2:57" ht="14.25" customHeight="1" x14ac:dyDescent="0.2">
      <c r="B26" s="86"/>
      <c r="C26" s="87"/>
      <c r="D26" s="88"/>
      <c r="E26" s="90" t="s">
        <v>1</v>
      </c>
      <c r="F26" s="91"/>
      <c r="G26" s="92"/>
      <c r="H26" s="93"/>
      <c r="I26" s="93"/>
      <c r="J26" s="93"/>
      <c r="K26" s="94"/>
      <c r="L26" s="80"/>
      <c r="M26" s="99"/>
      <c r="N26" s="81"/>
      <c r="O26" s="90" t="s">
        <v>41</v>
      </c>
      <c r="P26" s="91"/>
      <c r="Q26" s="198"/>
      <c r="R26" s="95"/>
      <c r="S26" s="95"/>
      <c r="T26" s="95"/>
      <c r="U26" s="96"/>
      <c r="V26" s="5" t="str">
        <f>IF(AE25="","⇒","⇔")</f>
        <v>⇒</v>
      </c>
      <c r="W26" s="97"/>
      <c r="X26" s="95"/>
      <c r="Y26" s="95"/>
      <c r="Z26" s="95"/>
      <c r="AA26" s="98"/>
      <c r="AB26" s="76"/>
      <c r="AC26" s="77"/>
      <c r="AD26" s="78"/>
      <c r="AE26" s="80"/>
      <c r="AF26" s="81"/>
      <c r="AG26" s="110"/>
      <c r="AH26" s="111"/>
      <c r="AI26" s="111"/>
      <c r="AJ26" s="112"/>
      <c r="AK26" s="80"/>
      <c r="AL26" s="99"/>
      <c r="AM26" s="81"/>
      <c r="AU26" s="66"/>
      <c r="AV26" s="66"/>
      <c r="AW26" s="66"/>
      <c r="AX26" s="65"/>
      <c r="AY26" s="65"/>
      <c r="AZ26" s="66"/>
      <c r="BA26" s="66"/>
      <c r="BB26" s="89"/>
      <c r="BC26" s="82"/>
      <c r="BD26" s="82"/>
      <c r="BE26" s="82"/>
    </row>
    <row r="27" spans="2:57" ht="14.25" customHeight="1" x14ac:dyDescent="0.2">
      <c r="B27" s="83"/>
      <c r="C27" s="84"/>
      <c r="D27" s="85"/>
      <c r="E27" s="100" t="s">
        <v>0</v>
      </c>
      <c r="F27" s="101"/>
      <c r="G27" s="67"/>
      <c r="H27" s="68"/>
      <c r="I27" s="68"/>
      <c r="J27" s="68"/>
      <c r="K27" s="69"/>
      <c r="L27" s="79"/>
      <c r="M27" s="71"/>
      <c r="N27" s="72"/>
      <c r="O27" s="100" t="s">
        <v>40</v>
      </c>
      <c r="P27" s="101"/>
      <c r="Q27" s="194"/>
      <c r="R27" s="195"/>
      <c r="S27" s="196"/>
      <c r="T27" s="4" t="str">
        <f>IF(AE27="","⇒","⇔")</f>
        <v>⇒</v>
      </c>
      <c r="U27" s="197"/>
      <c r="V27" s="195"/>
      <c r="W27" s="196"/>
      <c r="X27" s="4" t="str">
        <f>IF(AE27="","⇒","⇔")</f>
        <v>⇒</v>
      </c>
      <c r="Y27" s="197"/>
      <c r="Z27" s="195"/>
      <c r="AA27" s="200"/>
      <c r="AB27" s="73"/>
      <c r="AC27" s="74"/>
      <c r="AD27" s="75"/>
      <c r="AE27" s="79"/>
      <c r="AF27" s="72"/>
      <c r="AG27" s="107">
        <f>IF(AND(L27="電車・バス", AE27="●"), AB27*2, IF(OR(L27="電車・バス",L27= "タクシー"), AB27, 0))</f>
        <v>0</v>
      </c>
      <c r="AH27" s="108"/>
      <c r="AI27" s="108"/>
      <c r="AJ27" s="109"/>
      <c r="AK27" s="79"/>
      <c r="AL27" s="71"/>
      <c r="AM27" s="72"/>
      <c r="AU27" s="66"/>
      <c r="AV27" s="66"/>
      <c r="AW27" s="66"/>
      <c r="AX27" s="65"/>
      <c r="AY27" s="65"/>
      <c r="AZ27" s="66"/>
      <c r="BA27" s="66"/>
      <c r="BB27" s="89"/>
      <c r="BC27" s="82"/>
      <c r="BD27" s="82"/>
      <c r="BE27" s="82"/>
    </row>
    <row r="28" spans="2:57" ht="14.25" customHeight="1" x14ac:dyDescent="0.2">
      <c r="B28" s="86"/>
      <c r="C28" s="87"/>
      <c r="D28" s="88"/>
      <c r="E28" s="90" t="s">
        <v>1</v>
      </c>
      <c r="F28" s="91"/>
      <c r="G28" s="92"/>
      <c r="H28" s="93"/>
      <c r="I28" s="93"/>
      <c r="J28" s="93"/>
      <c r="K28" s="94"/>
      <c r="L28" s="80"/>
      <c r="M28" s="99"/>
      <c r="N28" s="81"/>
      <c r="O28" s="90" t="s">
        <v>41</v>
      </c>
      <c r="P28" s="91"/>
      <c r="Q28" s="198"/>
      <c r="R28" s="95"/>
      <c r="S28" s="95"/>
      <c r="T28" s="95"/>
      <c r="U28" s="96"/>
      <c r="V28" s="5" t="str">
        <f>IF(AE27="","⇒","⇔")</f>
        <v>⇒</v>
      </c>
      <c r="W28" s="97"/>
      <c r="X28" s="95"/>
      <c r="Y28" s="95"/>
      <c r="Z28" s="95"/>
      <c r="AA28" s="98"/>
      <c r="AB28" s="76"/>
      <c r="AC28" s="77"/>
      <c r="AD28" s="78"/>
      <c r="AE28" s="80"/>
      <c r="AF28" s="81"/>
      <c r="AG28" s="110"/>
      <c r="AH28" s="111"/>
      <c r="AI28" s="111"/>
      <c r="AJ28" s="112"/>
      <c r="AK28" s="80"/>
      <c r="AL28" s="99"/>
      <c r="AM28" s="81"/>
      <c r="AU28" s="66"/>
      <c r="AV28" s="66"/>
      <c r="AW28" s="66"/>
      <c r="AX28" s="65"/>
      <c r="AY28" s="65"/>
      <c r="AZ28" s="66"/>
      <c r="BA28" s="66"/>
      <c r="BB28" s="89"/>
      <c r="BC28" s="82"/>
      <c r="BD28" s="82"/>
      <c r="BE28" s="82"/>
    </row>
    <row r="29" spans="2:57" ht="14.25" customHeight="1" x14ac:dyDescent="0.2">
      <c r="B29" s="83"/>
      <c r="C29" s="84"/>
      <c r="D29" s="85"/>
      <c r="E29" s="100" t="s">
        <v>0</v>
      </c>
      <c r="F29" s="101"/>
      <c r="G29" s="67"/>
      <c r="H29" s="68"/>
      <c r="I29" s="68"/>
      <c r="J29" s="68"/>
      <c r="K29" s="69"/>
      <c r="L29" s="79"/>
      <c r="M29" s="71"/>
      <c r="N29" s="72"/>
      <c r="O29" s="100" t="s">
        <v>40</v>
      </c>
      <c r="P29" s="101"/>
      <c r="Q29" s="194"/>
      <c r="R29" s="195"/>
      <c r="S29" s="196"/>
      <c r="T29" s="4" t="str">
        <f>IF(AE29="","⇒","⇔")</f>
        <v>⇒</v>
      </c>
      <c r="U29" s="197"/>
      <c r="V29" s="195"/>
      <c r="W29" s="196"/>
      <c r="X29" s="4" t="str">
        <f>IF(AE29="","⇒","⇔")</f>
        <v>⇒</v>
      </c>
      <c r="Y29" s="197"/>
      <c r="Z29" s="195"/>
      <c r="AA29" s="200"/>
      <c r="AB29" s="73"/>
      <c r="AC29" s="74"/>
      <c r="AD29" s="75"/>
      <c r="AE29" s="79"/>
      <c r="AF29" s="72"/>
      <c r="AG29" s="107">
        <f>IF(AND(L29="電車・バス", AE29="●"), AB29*2, IF(OR(L29="電車・バス",L29= "タクシー"), AB29, 0))</f>
        <v>0</v>
      </c>
      <c r="AH29" s="108"/>
      <c r="AI29" s="108"/>
      <c r="AJ29" s="109"/>
      <c r="AK29" s="79"/>
      <c r="AL29" s="71"/>
      <c r="AM29" s="72"/>
      <c r="AU29" s="66"/>
      <c r="AV29" s="66"/>
      <c r="AW29" s="66"/>
      <c r="AX29" s="65"/>
      <c r="AY29" s="65"/>
      <c r="AZ29" s="66"/>
      <c r="BA29" s="66"/>
      <c r="BB29" s="89"/>
      <c r="BC29" s="82"/>
      <c r="BD29" s="82"/>
      <c r="BE29" s="82"/>
    </row>
    <row r="30" spans="2:57" ht="14.25" customHeight="1" x14ac:dyDescent="0.2">
      <c r="B30" s="86"/>
      <c r="C30" s="87"/>
      <c r="D30" s="88"/>
      <c r="E30" s="90" t="s">
        <v>1</v>
      </c>
      <c r="F30" s="91"/>
      <c r="G30" s="92"/>
      <c r="H30" s="93"/>
      <c r="I30" s="93"/>
      <c r="J30" s="93"/>
      <c r="K30" s="94"/>
      <c r="L30" s="80"/>
      <c r="M30" s="99"/>
      <c r="N30" s="81"/>
      <c r="O30" s="90" t="s">
        <v>41</v>
      </c>
      <c r="P30" s="91"/>
      <c r="Q30" s="198"/>
      <c r="R30" s="95"/>
      <c r="S30" s="95"/>
      <c r="T30" s="95"/>
      <c r="U30" s="96"/>
      <c r="V30" s="5" t="str">
        <f>IF(AE29="","⇒","⇔")</f>
        <v>⇒</v>
      </c>
      <c r="W30" s="97"/>
      <c r="X30" s="95"/>
      <c r="Y30" s="95"/>
      <c r="Z30" s="95"/>
      <c r="AA30" s="98"/>
      <c r="AB30" s="76"/>
      <c r="AC30" s="77"/>
      <c r="AD30" s="78"/>
      <c r="AE30" s="80"/>
      <c r="AF30" s="81"/>
      <c r="AG30" s="110"/>
      <c r="AH30" s="111"/>
      <c r="AI30" s="111"/>
      <c r="AJ30" s="112"/>
      <c r="AK30" s="80"/>
      <c r="AL30" s="99"/>
      <c r="AM30" s="81"/>
      <c r="AU30" s="66"/>
      <c r="AV30" s="66"/>
      <c r="AW30" s="66"/>
      <c r="AX30" s="65"/>
      <c r="AY30" s="65"/>
      <c r="AZ30" s="66"/>
      <c r="BA30" s="66"/>
      <c r="BB30" s="89"/>
      <c r="BC30" s="82"/>
      <c r="BD30" s="82"/>
      <c r="BE30" s="82"/>
    </row>
    <row r="31" spans="2:57" ht="14.25" customHeight="1" x14ac:dyDescent="0.2">
      <c r="B31" s="83"/>
      <c r="C31" s="84"/>
      <c r="D31" s="85"/>
      <c r="E31" s="100" t="s">
        <v>0</v>
      </c>
      <c r="F31" s="101"/>
      <c r="G31" s="67"/>
      <c r="H31" s="68"/>
      <c r="I31" s="68"/>
      <c r="J31" s="68"/>
      <c r="K31" s="69"/>
      <c r="L31" s="79"/>
      <c r="M31" s="71"/>
      <c r="N31" s="72"/>
      <c r="O31" s="100" t="s">
        <v>40</v>
      </c>
      <c r="P31" s="101"/>
      <c r="Q31" s="194"/>
      <c r="R31" s="195"/>
      <c r="S31" s="196"/>
      <c r="T31" s="4" t="str">
        <f>IF(AE31="","⇒","⇔")</f>
        <v>⇒</v>
      </c>
      <c r="U31" s="197"/>
      <c r="V31" s="195"/>
      <c r="W31" s="196"/>
      <c r="X31" s="4" t="str">
        <f>IF(AE31="","⇒","⇔")</f>
        <v>⇒</v>
      </c>
      <c r="Y31" s="197"/>
      <c r="Z31" s="195"/>
      <c r="AA31" s="200"/>
      <c r="AB31" s="73"/>
      <c r="AC31" s="74"/>
      <c r="AD31" s="75"/>
      <c r="AE31" s="79"/>
      <c r="AF31" s="72"/>
      <c r="AG31" s="107">
        <f>IF(AND(L31="電車・バス", AE31="●"), AB31*2, IF(OR(L31="電車・バス",L31= "タクシー"), AB31, 0))</f>
        <v>0</v>
      </c>
      <c r="AH31" s="108"/>
      <c r="AI31" s="108"/>
      <c r="AJ31" s="109"/>
      <c r="AK31" s="79"/>
      <c r="AL31" s="71"/>
      <c r="AM31" s="72"/>
      <c r="AU31" s="66"/>
      <c r="AV31" s="66"/>
      <c r="AW31" s="66"/>
      <c r="AX31" s="65"/>
      <c r="AY31" s="65"/>
      <c r="AZ31" s="66"/>
      <c r="BA31" s="66"/>
      <c r="BB31" s="89"/>
      <c r="BC31" s="82"/>
      <c r="BD31" s="82"/>
      <c r="BE31" s="82"/>
    </row>
    <row r="32" spans="2:57" ht="14.25" customHeight="1" x14ac:dyDescent="0.2">
      <c r="B32" s="86"/>
      <c r="C32" s="87"/>
      <c r="D32" s="88"/>
      <c r="E32" s="90" t="s">
        <v>1</v>
      </c>
      <c r="F32" s="91"/>
      <c r="G32" s="92"/>
      <c r="H32" s="93"/>
      <c r="I32" s="93"/>
      <c r="J32" s="93"/>
      <c r="K32" s="94"/>
      <c r="L32" s="80"/>
      <c r="M32" s="99"/>
      <c r="N32" s="81"/>
      <c r="O32" s="90" t="s">
        <v>41</v>
      </c>
      <c r="P32" s="91"/>
      <c r="Q32" s="198"/>
      <c r="R32" s="95"/>
      <c r="S32" s="95"/>
      <c r="T32" s="95"/>
      <c r="U32" s="96"/>
      <c r="V32" s="5" t="str">
        <f>IF(AE31="","⇒","⇔")</f>
        <v>⇒</v>
      </c>
      <c r="W32" s="97"/>
      <c r="X32" s="95"/>
      <c r="Y32" s="95"/>
      <c r="Z32" s="95"/>
      <c r="AA32" s="98"/>
      <c r="AB32" s="76"/>
      <c r="AC32" s="77"/>
      <c r="AD32" s="78"/>
      <c r="AE32" s="80"/>
      <c r="AF32" s="81"/>
      <c r="AG32" s="110"/>
      <c r="AH32" s="111"/>
      <c r="AI32" s="111"/>
      <c r="AJ32" s="112"/>
      <c r="AK32" s="80"/>
      <c r="AL32" s="99"/>
      <c r="AM32" s="81"/>
      <c r="AU32" s="66"/>
      <c r="AV32" s="66"/>
      <c r="AW32" s="66"/>
      <c r="AX32" s="65"/>
      <c r="AY32" s="65"/>
      <c r="AZ32" s="66"/>
      <c r="BA32" s="66"/>
      <c r="BB32" s="89"/>
      <c r="BC32" s="82"/>
      <c r="BD32" s="82"/>
      <c r="BE32" s="82"/>
    </row>
    <row r="33" spans="2:57" ht="14.25" customHeight="1" x14ac:dyDescent="0.2">
      <c r="B33" s="83"/>
      <c r="C33" s="84"/>
      <c r="D33" s="85"/>
      <c r="E33" s="100" t="s">
        <v>0</v>
      </c>
      <c r="F33" s="101"/>
      <c r="G33" s="67"/>
      <c r="H33" s="68"/>
      <c r="I33" s="68"/>
      <c r="J33" s="68"/>
      <c r="K33" s="69"/>
      <c r="L33" s="79"/>
      <c r="M33" s="71"/>
      <c r="N33" s="72"/>
      <c r="O33" s="100" t="s">
        <v>40</v>
      </c>
      <c r="P33" s="101"/>
      <c r="Q33" s="194"/>
      <c r="R33" s="195"/>
      <c r="S33" s="196"/>
      <c r="T33" s="4" t="str">
        <f>IF(AE33="","⇒","⇔")</f>
        <v>⇒</v>
      </c>
      <c r="U33" s="197"/>
      <c r="V33" s="195"/>
      <c r="W33" s="196"/>
      <c r="X33" s="4" t="str">
        <f>IF(AE33="","⇒","⇔")</f>
        <v>⇒</v>
      </c>
      <c r="Y33" s="197"/>
      <c r="Z33" s="195"/>
      <c r="AA33" s="200"/>
      <c r="AB33" s="73"/>
      <c r="AC33" s="74"/>
      <c r="AD33" s="75"/>
      <c r="AE33" s="79"/>
      <c r="AF33" s="72"/>
      <c r="AG33" s="107">
        <f>IF(AND(L33="電車・バス", AE33="●"), AB33*2, IF(OR(L33="電車・バス",L33= "タクシー"), AB33, 0))</f>
        <v>0</v>
      </c>
      <c r="AH33" s="108"/>
      <c r="AI33" s="108"/>
      <c r="AJ33" s="109"/>
      <c r="AK33" s="79"/>
      <c r="AL33" s="71"/>
      <c r="AM33" s="72"/>
      <c r="AU33" s="66"/>
      <c r="AV33" s="66"/>
      <c r="AW33" s="66"/>
      <c r="AX33" s="65"/>
      <c r="AY33" s="65"/>
      <c r="AZ33" s="66"/>
      <c r="BA33" s="66"/>
      <c r="BB33" s="89"/>
      <c r="BC33" s="82"/>
      <c r="BD33" s="82"/>
      <c r="BE33" s="82"/>
    </row>
    <row r="34" spans="2:57" ht="14.25" customHeight="1" x14ac:dyDescent="0.2">
      <c r="B34" s="86"/>
      <c r="C34" s="87"/>
      <c r="D34" s="88"/>
      <c r="E34" s="90" t="s">
        <v>1</v>
      </c>
      <c r="F34" s="91"/>
      <c r="G34" s="92"/>
      <c r="H34" s="93"/>
      <c r="I34" s="93"/>
      <c r="J34" s="93"/>
      <c r="K34" s="94"/>
      <c r="L34" s="80"/>
      <c r="M34" s="99"/>
      <c r="N34" s="81"/>
      <c r="O34" s="90" t="s">
        <v>41</v>
      </c>
      <c r="P34" s="91"/>
      <c r="Q34" s="198"/>
      <c r="R34" s="95"/>
      <c r="S34" s="95"/>
      <c r="T34" s="95"/>
      <c r="U34" s="96"/>
      <c r="V34" s="5" t="str">
        <f>IF(AE33="","⇒","⇔")</f>
        <v>⇒</v>
      </c>
      <c r="W34" s="97"/>
      <c r="X34" s="95"/>
      <c r="Y34" s="95"/>
      <c r="Z34" s="95"/>
      <c r="AA34" s="98"/>
      <c r="AB34" s="76"/>
      <c r="AC34" s="77"/>
      <c r="AD34" s="78"/>
      <c r="AE34" s="80"/>
      <c r="AF34" s="81"/>
      <c r="AG34" s="110"/>
      <c r="AH34" s="111"/>
      <c r="AI34" s="111"/>
      <c r="AJ34" s="112"/>
      <c r="AK34" s="80"/>
      <c r="AL34" s="99"/>
      <c r="AM34" s="81"/>
      <c r="AU34" s="66"/>
      <c r="AV34" s="66"/>
      <c r="AW34" s="66"/>
      <c r="AX34" s="65"/>
      <c r="AY34" s="65"/>
      <c r="AZ34" s="66"/>
      <c r="BA34" s="66"/>
      <c r="BB34" s="89"/>
      <c r="BC34" s="82"/>
      <c r="BD34" s="82"/>
      <c r="BE34" s="82"/>
    </row>
    <row r="35" spans="2:57" ht="14.25" customHeight="1" x14ac:dyDescent="0.2">
      <c r="B35" s="83"/>
      <c r="C35" s="84"/>
      <c r="D35" s="85"/>
      <c r="E35" s="100" t="s">
        <v>0</v>
      </c>
      <c r="F35" s="101"/>
      <c r="G35" s="67"/>
      <c r="H35" s="68"/>
      <c r="I35" s="68"/>
      <c r="J35" s="68"/>
      <c r="K35" s="69"/>
      <c r="L35" s="79"/>
      <c r="M35" s="71"/>
      <c r="N35" s="72"/>
      <c r="O35" s="100" t="s">
        <v>40</v>
      </c>
      <c r="P35" s="101"/>
      <c r="Q35" s="194"/>
      <c r="R35" s="195"/>
      <c r="S35" s="196"/>
      <c r="T35" s="4" t="str">
        <f>IF(AE35="","⇒","⇔")</f>
        <v>⇒</v>
      </c>
      <c r="U35" s="197"/>
      <c r="V35" s="195"/>
      <c r="W35" s="196"/>
      <c r="X35" s="4" t="str">
        <f>IF(AE35="","⇒","⇔")</f>
        <v>⇒</v>
      </c>
      <c r="Y35" s="197"/>
      <c r="Z35" s="195"/>
      <c r="AA35" s="200"/>
      <c r="AB35" s="73"/>
      <c r="AC35" s="74"/>
      <c r="AD35" s="75"/>
      <c r="AE35" s="79"/>
      <c r="AF35" s="72"/>
      <c r="AG35" s="107">
        <f>IF(AND(L35="電車・バス", AE35="●"), AB35*2, IF(OR(L35="電車・バス",L35= "タクシー"), AB35, 0))</f>
        <v>0</v>
      </c>
      <c r="AH35" s="108"/>
      <c r="AI35" s="108"/>
      <c r="AJ35" s="109"/>
      <c r="AK35" s="79"/>
      <c r="AL35" s="71"/>
      <c r="AM35" s="72"/>
      <c r="AU35" s="66"/>
      <c r="AV35" s="66"/>
      <c r="AW35" s="66"/>
      <c r="AX35" s="65"/>
      <c r="AY35" s="65"/>
      <c r="AZ35" s="66"/>
      <c r="BA35" s="66"/>
      <c r="BB35" s="89"/>
      <c r="BC35" s="82"/>
      <c r="BD35" s="82"/>
      <c r="BE35" s="82"/>
    </row>
    <row r="36" spans="2:57" ht="14.25" customHeight="1" x14ac:dyDescent="0.2">
      <c r="B36" s="86"/>
      <c r="C36" s="87"/>
      <c r="D36" s="88"/>
      <c r="E36" s="90" t="s">
        <v>1</v>
      </c>
      <c r="F36" s="91"/>
      <c r="G36" s="92"/>
      <c r="H36" s="93"/>
      <c r="I36" s="93"/>
      <c r="J36" s="93"/>
      <c r="K36" s="94"/>
      <c r="L36" s="80"/>
      <c r="M36" s="99"/>
      <c r="N36" s="81"/>
      <c r="O36" s="90" t="s">
        <v>41</v>
      </c>
      <c r="P36" s="91"/>
      <c r="Q36" s="198"/>
      <c r="R36" s="95"/>
      <c r="S36" s="95"/>
      <c r="T36" s="95"/>
      <c r="U36" s="96"/>
      <c r="V36" s="5" t="str">
        <f>IF(AE35="","⇒","⇔")</f>
        <v>⇒</v>
      </c>
      <c r="W36" s="97"/>
      <c r="X36" s="95"/>
      <c r="Y36" s="95"/>
      <c r="Z36" s="95"/>
      <c r="AA36" s="98"/>
      <c r="AB36" s="76"/>
      <c r="AC36" s="77"/>
      <c r="AD36" s="78"/>
      <c r="AE36" s="80"/>
      <c r="AF36" s="81"/>
      <c r="AG36" s="110"/>
      <c r="AH36" s="111"/>
      <c r="AI36" s="111"/>
      <c r="AJ36" s="112"/>
      <c r="AK36" s="80"/>
      <c r="AL36" s="99"/>
      <c r="AM36" s="81"/>
      <c r="AU36" s="66"/>
      <c r="AV36" s="66"/>
      <c r="AW36" s="66"/>
      <c r="AX36" s="65"/>
      <c r="AY36" s="65"/>
      <c r="AZ36" s="66"/>
      <c r="BA36" s="66"/>
      <c r="BB36" s="89"/>
      <c r="BC36" s="82"/>
      <c r="BD36" s="82"/>
      <c r="BE36" s="82"/>
    </row>
    <row r="37" spans="2:57" ht="14.25" customHeight="1" x14ac:dyDescent="0.2">
      <c r="B37" s="83"/>
      <c r="C37" s="84"/>
      <c r="D37" s="85"/>
      <c r="E37" s="100" t="s">
        <v>0</v>
      </c>
      <c r="F37" s="101"/>
      <c r="G37" s="67"/>
      <c r="H37" s="68"/>
      <c r="I37" s="68"/>
      <c r="J37" s="68"/>
      <c r="K37" s="69"/>
      <c r="L37" s="79"/>
      <c r="M37" s="71"/>
      <c r="N37" s="72"/>
      <c r="O37" s="100" t="s">
        <v>40</v>
      </c>
      <c r="P37" s="101"/>
      <c r="Q37" s="194"/>
      <c r="R37" s="195"/>
      <c r="S37" s="196"/>
      <c r="T37" s="4" t="str">
        <f>IF(AE37="","⇒","⇔")</f>
        <v>⇒</v>
      </c>
      <c r="U37" s="197"/>
      <c r="V37" s="195"/>
      <c r="W37" s="196"/>
      <c r="X37" s="4" t="str">
        <f>IF(AE37="","⇒","⇔")</f>
        <v>⇒</v>
      </c>
      <c r="Y37" s="197"/>
      <c r="Z37" s="195"/>
      <c r="AA37" s="200"/>
      <c r="AB37" s="73"/>
      <c r="AC37" s="74"/>
      <c r="AD37" s="75"/>
      <c r="AE37" s="79"/>
      <c r="AF37" s="72"/>
      <c r="AG37" s="107">
        <f>IF(AND(L37="電車・バス", AE37="●"), AB37*2, IF(OR(L37="電車・バス",L37= "タクシー"), AB37, 0))</f>
        <v>0</v>
      </c>
      <c r="AH37" s="108"/>
      <c r="AI37" s="108"/>
      <c r="AJ37" s="109"/>
      <c r="AK37" s="79"/>
      <c r="AL37" s="71"/>
      <c r="AM37" s="72"/>
      <c r="AU37" s="66"/>
      <c r="AV37" s="66"/>
      <c r="AW37" s="66"/>
      <c r="AX37" s="65"/>
      <c r="AY37" s="65"/>
      <c r="AZ37" s="66"/>
      <c r="BA37" s="66"/>
      <c r="BB37" s="89"/>
      <c r="BC37" s="82"/>
      <c r="BD37" s="82"/>
      <c r="BE37" s="82"/>
    </row>
    <row r="38" spans="2:57" ht="14.25" customHeight="1" x14ac:dyDescent="0.2">
      <c r="B38" s="86"/>
      <c r="C38" s="87"/>
      <c r="D38" s="88"/>
      <c r="E38" s="90" t="s">
        <v>1</v>
      </c>
      <c r="F38" s="91"/>
      <c r="G38" s="92"/>
      <c r="H38" s="93"/>
      <c r="I38" s="93"/>
      <c r="J38" s="93"/>
      <c r="K38" s="94"/>
      <c r="L38" s="80"/>
      <c r="M38" s="99"/>
      <c r="N38" s="81"/>
      <c r="O38" s="90" t="s">
        <v>41</v>
      </c>
      <c r="P38" s="91"/>
      <c r="Q38" s="198"/>
      <c r="R38" s="95"/>
      <c r="S38" s="95"/>
      <c r="T38" s="95"/>
      <c r="U38" s="96"/>
      <c r="V38" s="5" t="str">
        <f>IF(AE37="","⇒","⇔")</f>
        <v>⇒</v>
      </c>
      <c r="W38" s="97"/>
      <c r="X38" s="95"/>
      <c r="Y38" s="95"/>
      <c r="Z38" s="95"/>
      <c r="AA38" s="98"/>
      <c r="AB38" s="76"/>
      <c r="AC38" s="77"/>
      <c r="AD38" s="78"/>
      <c r="AE38" s="80"/>
      <c r="AF38" s="81"/>
      <c r="AG38" s="110"/>
      <c r="AH38" s="111"/>
      <c r="AI38" s="111"/>
      <c r="AJ38" s="112"/>
      <c r="AK38" s="80"/>
      <c r="AL38" s="99"/>
      <c r="AM38" s="81"/>
      <c r="AU38" s="66"/>
      <c r="AV38" s="66"/>
      <c r="AW38" s="66"/>
      <c r="AX38" s="65"/>
      <c r="AY38" s="65"/>
      <c r="AZ38" s="66"/>
      <c r="BA38" s="66"/>
      <c r="BB38" s="89"/>
      <c r="BC38" s="82"/>
      <c r="BD38" s="82"/>
      <c r="BE38" s="82"/>
    </row>
    <row r="39" spans="2:57" ht="14.25" customHeight="1" x14ac:dyDescent="0.2">
      <c r="B39" s="83"/>
      <c r="C39" s="84"/>
      <c r="D39" s="85"/>
      <c r="E39" s="100" t="s">
        <v>0</v>
      </c>
      <c r="F39" s="101"/>
      <c r="G39" s="67"/>
      <c r="H39" s="68"/>
      <c r="I39" s="68"/>
      <c r="J39" s="68"/>
      <c r="K39" s="69"/>
      <c r="L39" s="79"/>
      <c r="M39" s="71"/>
      <c r="N39" s="72"/>
      <c r="O39" s="100" t="s">
        <v>40</v>
      </c>
      <c r="P39" s="101"/>
      <c r="Q39" s="194"/>
      <c r="R39" s="195"/>
      <c r="S39" s="196"/>
      <c r="T39" s="4" t="str">
        <f>IF(AE39="","⇒","⇔")</f>
        <v>⇒</v>
      </c>
      <c r="U39" s="197"/>
      <c r="V39" s="195"/>
      <c r="W39" s="196"/>
      <c r="X39" s="4" t="str">
        <f>IF(AE39="","⇒","⇔")</f>
        <v>⇒</v>
      </c>
      <c r="Y39" s="197"/>
      <c r="Z39" s="195"/>
      <c r="AA39" s="200"/>
      <c r="AB39" s="73"/>
      <c r="AC39" s="74"/>
      <c r="AD39" s="75"/>
      <c r="AE39" s="79"/>
      <c r="AF39" s="72"/>
      <c r="AG39" s="107">
        <f>IF(AND(L39="電車・バス", AE39="●"), AB39*2, IF(OR(L39="電車・バス",L39= "タクシー"), AB39, 0))</f>
        <v>0</v>
      </c>
      <c r="AH39" s="108"/>
      <c r="AI39" s="108"/>
      <c r="AJ39" s="109"/>
      <c r="AK39" s="79"/>
      <c r="AL39" s="71"/>
      <c r="AM39" s="72"/>
      <c r="AU39" s="66"/>
      <c r="AV39" s="66"/>
      <c r="AW39" s="66"/>
      <c r="AX39" s="65"/>
      <c r="AY39" s="65"/>
      <c r="AZ39" s="66"/>
      <c r="BA39" s="66"/>
      <c r="BB39" s="89"/>
      <c r="BC39" s="82"/>
      <c r="BD39" s="82"/>
      <c r="BE39" s="82"/>
    </row>
    <row r="40" spans="2:57" ht="14.25" customHeight="1" x14ac:dyDescent="0.2">
      <c r="B40" s="86"/>
      <c r="C40" s="87"/>
      <c r="D40" s="88"/>
      <c r="E40" s="90" t="s">
        <v>1</v>
      </c>
      <c r="F40" s="91"/>
      <c r="G40" s="92"/>
      <c r="H40" s="93"/>
      <c r="I40" s="93"/>
      <c r="J40" s="93"/>
      <c r="K40" s="94"/>
      <c r="L40" s="80"/>
      <c r="M40" s="99"/>
      <c r="N40" s="81"/>
      <c r="O40" s="90" t="s">
        <v>41</v>
      </c>
      <c r="P40" s="91"/>
      <c r="Q40" s="198"/>
      <c r="R40" s="95"/>
      <c r="S40" s="95"/>
      <c r="T40" s="95"/>
      <c r="U40" s="96"/>
      <c r="V40" s="5" t="str">
        <f>IF(AE39="","⇒","⇔")</f>
        <v>⇒</v>
      </c>
      <c r="W40" s="97"/>
      <c r="X40" s="95"/>
      <c r="Y40" s="95"/>
      <c r="Z40" s="95"/>
      <c r="AA40" s="98"/>
      <c r="AB40" s="76"/>
      <c r="AC40" s="77"/>
      <c r="AD40" s="78"/>
      <c r="AE40" s="80"/>
      <c r="AF40" s="81"/>
      <c r="AG40" s="110"/>
      <c r="AH40" s="111"/>
      <c r="AI40" s="111"/>
      <c r="AJ40" s="112"/>
      <c r="AK40" s="80"/>
      <c r="AL40" s="99"/>
      <c r="AM40" s="81"/>
      <c r="AU40" s="66"/>
      <c r="AV40" s="66"/>
      <c r="AW40" s="66"/>
      <c r="AX40" s="65"/>
      <c r="AY40" s="65"/>
      <c r="AZ40" s="66"/>
      <c r="BA40" s="66"/>
      <c r="BB40" s="89"/>
      <c r="BC40" s="82"/>
      <c r="BD40" s="82"/>
      <c r="BE40" s="82"/>
    </row>
    <row r="41" spans="2:57" ht="14.25" customHeight="1" x14ac:dyDescent="0.2">
      <c r="B41" s="83"/>
      <c r="C41" s="84"/>
      <c r="D41" s="85"/>
      <c r="E41" s="100" t="s">
        <v>0</v>
      </c>
      <c r="F41" s="101"/>
      <c r="G41" s="67"/>
      <c r="H41" s="68"/>
      <c r="I41" s="68"/>
      <c r="J41" s="68"/>
      <c r="K41" s="69"/>
      <c r="L41" s="79"/>
      <c r="M41" s="71"/>
      <c r="N41" s="72"/>
      <c r="O41" s="100" t="s">
        <v>40</v>
      </c>
      <c r="P41" s="101"/>
      <c r="Q41" s="194"/>
      <c r="R41" s="195"/>
      <c r="S41" s="196"/>
      <c r="T41" s="4" t="str">
        <f>IF(AE41="","⇒","⇔")</f>
        <v>⇒</v>
      </c>
      <c r="U41" s="197"/>
      <c r="V41" s="195"/>
      <c r="W41" s="196"/>
      <c r="X41" s="4" t="str">
        <f>IF(AE41="","⇒","⇔")</f>
        <v>⇒</v>
      </c>
      <c r="Y41" s="197"/>
      <c r="Z41" s="195"/>
      <c r="AA41" s="200"/>
      <c r="AB41" s="73"/>
      <c r="AC41" s="74"/>
      <c r="AD41" s="75"/>
      <c r="AE41" s="79"/>
      <c r="AF41" s="72"/>
      <c r="AG41" s="107">
        <f>IF(AND(L41="電車・バス", AE41="●"), AB41*2, IF(OR(L41="電車・バス",L41= "タクシー"), AB41, 0))</f>
        <v>0</v>
      </c>
      <c r="AH41" s="108"/>
      <c r="AI41" s="108"/>
      <c r="AJ41" s="109"/>
      <c r="AK41" s="79"/>
      <c r="AL41" s="71"/>
      <c r="AM41" s="72"/>
      <c r="AU41" s="66"/>
      <c r="AV41" s="66"/>
      <c r="AW41" s="66"/>
      <c r="AX41" s="65"/>
      <c r="AY41" s="65"/>
      <c r="AZ41" s="66"/>
      <c r="BA41" s="66"/>
      <c r="BB41" s="89"/>
      <c r="BC41" s="82"/>
      <c r="BD41" s="82"/>
      <c r="BE41" s="82"/>
    </row>
    <row r="42" spans="2:57" ht="14.25" customHeight="1" x14ac:dyDescent="0.2">
      <c r="B42" s="86"/>
      <c r="C42" s="87"/>
      <c r="D42" s="88"/>
      <c r="E42" s="90" t="s">
        <v>1</v>
      </c>
      <c r="F42" s="91"/>
      <c r="G42" s="92"/>
      <c r="H42" s="93"/>
      <c r="I42" s="93"/>
      <c r="J42" s="93"/>
      <c r="K42" s="94"/>
      <c r="L42" s="80"/>
      <c r="M42" s="99"/>
      <c r="N42" s="81"/>
      <c r="O42" s="90" t="s">
        <v>41</v>
      </c>
      <c r="P42" s="91"/>
      <c r="Q42" s="198"/>
      <c r="R42" s="95"/>
      <c r="S42" s="95"/>
      <c r="T42" s="95"/>
      <c r="U42" s="96"/>
      <c r="V42" s="5" t="str">
        <f>IF(AE41="","⇒","⇔")</f>
        <v>⇒</v>
      </c>
      <c r="W42" s="97"/>
      <c r="X42" s="95"/>
      <c r="Y42" s="95"/>
      <c r="Z42" s="95"/>
      <c r="AA42" s="98"/>
      <c r="AB42" s="76"/>
      <c r="AC42" s="77"/>
      <c r="AD42" s="78"/>
      <c r="AE42" s="80"/>
      <c r="AF42" s="81"/>
      <c r="AG42" s="110"/>
      <c r="AH42" s="111"/>
      <c r="AI42" s="111"/>
      <c r="AJ42" s="112"/>
      <c r="AK42" s="80"/>
      <c r="AL42" s="99"/>
      <c r="AM42" s="81"/>
      <c r="AU42" s="66"/>
      <c r="AV42" s="66"/>
      <c r="AW42" s="66"/>
      <c r="AX42" s="65"/>
      <c r="AY42" s="65"/>
      <c r="AZ42" s="66"/>
      <c r="BA42" s="66"/>
      <c r="BB42" s="89"/>
      <c r="BC42" s="82"/>
      <c r="BD42" s="82"/>
      <c r="BE42" s="82"/>
    </row>
    <row r="43" spans="2:57" ht="14.25" customHeight="1" x14ac:dyDescent="0.2">
      <c r="B43" s="83"/>
      <c r="C43" s="84"/>
      <c r="D43" s="85"/>
      <c r="E43" s="100" t="s">
        <v>0</v>
      </c>
      <c r="F43" s="101"/>
      <c r="G43" s="67"/>
      <c r="H43" s="68"/>
      <c r="I43" s="68"/>
      <c r="J43" s="68"/>
      <c r="K43" s="69"/>
      <c r="L43" s="79"/>
      <c r="M43" s="71"/>
      <c r="N43" s="72"/>
      <c r="O43" s="100" t="s">
        <v>40</v>
      </c>
      <c r="P43" s="101"/>
      <c r="Q43" s="194"/>
      <c r="R43" s="195"/>
      <c r="S43" s="196"/>
      <c r="T43" s="4" t="str">
        <f>IF(AE43="","⇒","⇔")</f>
        <v>⇒</v>
      </c>
      <c r="U43" s="197"/>
      <c r="V43" s="195"/>
      <c r="W43" s="196"/>
      <c r="X43" s="4" t="str">
        <f>IF(AE43="","⇒","⇔")</f>
        <v>⇒</v>
      </c>
      <c r="Y43" s="197"/>
      <c r="Z43" s="195"/>
      <c r="AA43" s="200"/>
      <c r="AB43" s="73"/>
      <c r="AC43" s="74"/>
      <c r="AD43" s="75"/>
      <c r="AE43" s="79"/>
      <c r="AF43" s="72"/>
      <c r="AG43" s="107">
        <f>IF(AND(L43="電車・バス", AE43="●"), AB43*2, IF(OR(L43="電車・バス",L43= "タクシー"), AB43, 0))</f>
        <v>0</v>
      </c>
      <c r="AH43" s="108"/>
      <c r="AI43" s="108"/>
      <c r="AJ43" s="109"/>
      <c r="AK43" s="79"/>
      <c r="AL43" s="71"/>
      <c r="AM43" s="72"/>
      <c r="AU43" s="66"/>
      <c r="AV43" s="66"/>
      <c r="AW43" s="66"/>
      <c r="AX43" s="65"/>
      <c r="AY43" s="65"/>
      <c r="AZ43" s="66"/>
      <c r="BA43" s="66"/>
      <c r="BB43" s="89"/>
      <c r="BC43" s="82"/>
      <c r="BD43" s="82"/>
      <c r="BE43" s="82"/>
    </row>
    <row r="44" spans="2:57" ht="14.25" customHeight="1" x14ac:dyDescent="0.2">
      <c r="B44" s="86"/>
      <c r="C44" s="87"/>
      <c r="D44" s="88"/>
      <c r="E44" s="90" t="s">
        <v>1</v>
      </c>
      <c r="F44" s="91"/>
      <c r="G44" s="92"/>
      <c r="H44" s="93"/>
      <c r="I44" s="93"/>
      <c r="J44" s="93"/>
      <c r="K44" s="94"/>
      <c r="L44" s="80"/>
      <c r="M44" s="99"/>
      <c r="N44" s="81"/>
      <c r="O44" s="90" t="s">
        <v>41</v>
      </c>
      <c r="P44" s="91"/>
      <c r="Q44" s="198"/>
      <c r="R44" s="95"/>
      <c r="S44" s="95"/>
      <c r="T44" s="95"/>
      <c r="U44" s="96"/>
      <c r="V44" s="5" t="str">
        <f>IF(AE43="","⇒","⇔")</f>
        <v>⇒</v>
      </c>
      <c r="W44" s="97"/>
      <c r="X44" s="95"/>
      <c r="Y44" s="95"/>
      <c r="Z44" s="95"/>
      <c r="AA44" s="98"/>
      <c r="AB44" s="76"/>
      <c r="AC44" s="77"/>
      <c r="AD44" s="78"/>
      <c r="AE44" s="80"/>
      <c r="AF44" s="81"/>
      <c r="AG44" s="110"/>
      <c r="AH44" s="111"/>
      <c r="AI44" s="111"/>
      <c r="AJ44" s="112"/>
      <c r="AK44" s="80"/>
      <c r="AL44" s="99"/>
      <c r="AM44" s="81"/>
      <c r="AU44" s="66"/>
      <c r="AV44" s="66"/>
      <c r="AW44" s="66"/>
      <c r="AX44" s="65"/>
      <c r="AY44" s="65"/>
      <c r="AZ44" s="66"/>
      <c r="BA44" s="66"/>
      <c r="BB44" s="89"/>
      <c r="BC44" s="82"/>
      <c r="BD44" s="82"/>
      <c r="BE44" s="82"/>
    </row>
    <row r="45" spans="2:57" ht="14.25" customHeight="1" x14ac:dyDescent="0.2">
      <c r="B45" s="83"/>
      <c r="C45" s="84"/>
      <c r="D45" s="85"/>
      <c r="E45" s="100" t="s">
        <v>0</v>
      </c>
      <c r="F45" s="101"/>
      <c r="G45" s="67"/>
      <c r="H45" s="68"/>
      <c r="I45" s="68"/>
      <c r="J45" s="68"/>
      <c r="K45" s="69"/>
      <c r="L45" s="79"/>
      <c r="M45" s="71"/>
      <c r="N45" s="72"/>
      <c r="O45" s="100" t="s">
        <v>40</v>
      </c>
      <c r="P45" s="101"/>
      <c r="Q45" s="194"/>
      <c r="R45" s="195"/>
      <c r="S45" s="196"/>
      <c r="T45" s="4" t="str">
        <f>IF(AE45="","⇒","⇔")</f>
        <v>⇒</v>
      </c>
      <c r="U45" s="197"/>
      <c r="V45" s="195"/>
      <c r="W45" s="196"/>
      <c r="X45" s="4" t="str">
        <f>IF(AE45="","⇒","⇔")</f>
        <v>⇒</v>
      </c>
      <c r="Y45" s="197"/>
      <c r="Z45" s="195"/>
      <c r="AA45" s="200"/>
      <c r="AB45" s="73"/>
      <c r="AC45" s="74"/>
      <c r="AD45" s="75"/>
      <c r="AE45" s="79"/>
      <c r="AF45" s="72"/>
      <c r="AG45" s="107">
        <f>IF(AND(L45="電車・バス", AE45="●"), AB45*2, IF(OR(L45="電車・バス",L45= "タクシー"), AB45, 0))</f>
        <v>0</v>
      </c>
      <c r="AH45" s="108"/>
      <c r="AI45" s="108"/>
      <c r="AJ45" s="109"/>
      <c r="AK45" s="79"/>
      <c r="AL45" s="71"/>
      <c r="AM45" s="72"/>
      <c r="AU45" s="66"/>
      <c r="AV45" s="66"/>
      <c r="AW45" s="66"/>
      <c r="AX45" s="65"/>
      <c r="AY45" s="65"/>
      <c r="AZ45" s="66"/>
      <c r="BA45" s="66"/>
      <c r="BB45" s="89"/>
      <c r="BC45" s="82"/>
      <c r="BD45" s="82"/>
      <c r="BE45" s="82"/>
    </row>
    <row r="46" spans="2:57" ht="14.25" customHeight="1" x14ac:dyDescent="0.2">
      <c r="B46" s="86"/>
      <c r="C46" s="87"/>
      <c r="D46" s="88"/>
      <c r="E46" s="90" t="s">
        <v>1</v>
      </c>
      <c r="F46" s="91"/>
      <c r="G46" s="92"/>
      <c r="H46" s="93"/>
      <c r="I46" s="93"/>
      <c r="J46" s="93"/>
      <c r="K46" s="94"/>
      <c r="L46" s="80"/>
      <c r="M46" s="99"/>
      <c r="N46" s="81"/>
      <c r="O46" s="90" t="s">
        <v>41</v>
      </c>
      <c r="P46" s="91"/>
      <c r="Q46" s="198"/>
      <c r="R46" s="95"/>
      <c r="S46" s="95"/>
      <c r="T46" s="95"/>
      <c r="U46" s="96"/>
      <c r="V46" s="5" t="str">
        <f>IF(AE45="","⇒","⇔")</f>
        <v>⇒</v>
      </c>
      <c r="W46" s="97"/>
      <c r="X46" s="95"/>
      <c r="Y46" s="95"/>
      <c r="Z46" s="95"/>
      <c r="AA46" s="98"/>
      <c r="AB46" s="76"/>
      <c r="AC46" s="77"/>
      <c r="AD46" s="78"/>
      <c r="AE46" s="80"/>
      <c r="AF46" s="81"/>
      <c r="AG46" s="110"/>
      <c r="AH46" s="111"/>
      <c r="AI46" s="111"/>
      <c r="AJ46" s="112"/>
      <c r="AK46" s="80"/>
      <c r="AL46" s="99"/>
      <c r="AM46" s="81"/>
      <c r="AU46" s="66"/>
      <c r="AV46" s="66"/>
      <c r="AW46" s="66"/>
      <c r="AX46" s="65"/>
      <c r="AY46" s="65"/>
      <c r="AZ46" s="66"/>
      <c r="BA46" s="66"/>
      <c r="BB46" s="89"/>
      <c r="BC46" s="82"/>
      <c r="BD46" s="82"/>
      <c r="BE46" s="82"/>
    </row>
    <row r="47" spans="2:57" ht="14.25" customHeight="1" x14ac:dyDescent="0.2">
      <c r="B47" s="83"/>
      <c r="C47" s="84"/>
      <c r="D47" s="85"/>
      <c r="E47" s="100" t="s">
        <v>0</v>
      </c>
      <c r="F47" s="101"/>
      <c r="G47" s="67"/>
      <c r="H47" s="68"/>
      <c r="I47" s="68"/>
      <c r="J47" s="68"/>
      <c r="K47" s="69"/>
      <c r="L47" s="79"/>
      <c r="M47" s="71"/>
      <c r="N47" s="72"/>
      <c r="O47" s="100" t="s">
        <v>40</v>
      </c>
      <c r="P47" s="101"/>
      <c r="Q47" s="194"/>
      <c r="R47" s="195"/>
      <c r="S47" s="196"/>
      <c r="T47" s="4" t="str">
        <f>IF(AE47="","⇒","⇔")</f>
        <v>⇒</v>
      </c>
      <c r="U47" s="197"/>
      <c r="V47" s="195"/>
      <c r="W47" s="196"/>
      <c r="X47" s="4" t="str">
        <f>IF(AE47="","⇒","⇔")</f>
        <v>⇒</v>
      </c>
      <c r="Y47" s="197"/>
      <c r="Z47" s="195"/>
      <c r="AA47" s="200"/>
      <c r="AB47" s="73"/>
      <c r="AC47" s="74"/>
      <c r="AD47" s="75"/>
      <c r="AE47" s="79"/>
      <c r="AF47" s="72"/>
      <c r="AG47" s="107">
        <f>IF(AND(L47="電車・バス", AE47="●"), AB47*2, IF(OR(L47="電車・バス",L47= "タクシー"), AB47, 0))</f>
        <v>0</v>
      </c>
      <c r="AH47" s="108"/>
      <c r="AI47" s="108"/>
      <c r="AJ47" s="109"/>
      <c r="AK47" s="79"/>
      <c r="AL47" s="71"/>
      <c r="AM47" s="72"/>
      <c r="AU47" s="66"/>
      <c r="AV47" s="66"/>
      <c r="AW47" s="66"/>
      <c r="AX47" s="65"/>
      <c r="AY47" s="65"/>
      <c r="AZ47" s="66"/>
      <c r="BA47" s="66"/>
      <c r="BB47" s="89"/>
      <c r="BC47" s="82"/>
      <c r="BD47" s="82"/>
      <c r="BE47" s="82"/>
    </row>
    <row r="48" spans="2:57" ht="14.25" customHeight="1" x14ac:dyDescent="0.2">
      <c r="B48" s="86"/>
      <c r="C48" s="87"/>
      <c r="D48" s="88"/>
      <c r="E48" s="90" t="s">
        <v>1</v>
      </c>
      <c r="F48" s="91"/>
      <c r="G48" s="92"/>
      <c r="H48" s="93"/>
      <c r="I48" s="93"/>
      <c r="J48" s="93"/>
      <c r="K48" s="94"/>
      <c r="L48" s="80"/>
      <c r="M48" s="99"/>
      <c r="N48" s="81"/>
      <c r="O48" s="90" t="s">
        <v>41</v>
      </c>
      <c r="P48" s="91"/>
      <c r="Q48" s="198"/>
      <c r="R48" s="95"/>
      <c r="S48" s="95"/>
      <c r="T48" s="95"/>
      <c r="U48" s="96"/>
      <c r="V48" s="5" t="str">
        <f>IF(AE47="","⇒","⇔")</f>
        <v>⇒</v>
      </c>
      <c r="W48" s="97"/>
      <c r="X48" s="95"/>
      <c r="Y48" s="95"/>
      <c r="Z48" s="95"/>
      <c r="AA48" s="98"/>
      <c r="AB48" s="76"/>
      <c r="AC48" s="77"/>
      <c r="AD48" s="78"/>
      <c r="AE48" s="80"/>
      <c r="AF48" s="81"/>
      <c r="AG48" s="110"/>
      <c r="AH48" s="111"/>
      <c r="AI48" s="111"/>
      <c r="AJ48" s="112"/>
      <c r="AK48" s="80"/>
      <c r="AL48" s="99"/>
      <c r="AM48" s="81"/>
      <c r="AU48" s="66"/>
      <c r="AV48" s="66"/>
      <c r="AW48" s="66"/>
      <c r="AX48" s="65"/>
      <c r="AY48" s="65"/>
      <c r="AZ48" s="66"/>
      <c r="BA48" s="66"/>
      <c r="BB48" s="89"/>
      <c r="BC48" s="82"/>
      <c r="BD48" s="82"/>
      <c r="BE48" s="82"/>
    </row>
    <row r="49" spans="2:57" ht="14.25" customHeight="1" x14ac:dyDescent="0.2">
      <c r="B49" s="83"/>
      <c r="C49" s="84"/>
      <c r="D49" s="85"/>
      <c r="E49" s="100" t="s">
        <v>0</v>
      </c>
      <c r="F49" s="101"/>
      <c r="G49" s="67"/>
      <c r="H49" s="68"/>
      <c r="I49" s="68"/>
      <c r="J49" s="68"/>
      <c r="K49" s="69"/>
      <c r="L49" s="79"/>
      <c r="M49" s="71"/>
      <c r="N49" s="72"/>
      <c r="O49" s="100" t="s">
        <v>40</v>
      </c>
      <c r="P49" s="101"/>
      <c r="Q49" s="194"/>
      <c r="R49" s="195"/>
      <c r="S49" s="196"/>
      <c r="T49" s="4" t="str">
        <f>IF(AE49="","⇒","⇔")</f>
        <v>⇒</v>
      </c>
      <c r="U49" s="197"/>
      <c r="V49" s="195"/>
      <c r="W49" s="196"/>
      <c r="X49" s="4" t="str">
        <f>IF(AE49="","⇒","⇔")</f>
        <v>⇒</v>
      </c>
      <c r="Y49" s="197"/>
      <c r="Z49" s="195"/>
      <c r="AA49" s="200"/>
      <c r="AB49" s="73"/>
      <c r="AC49" s="74"/>
      <c r="AD49" s="75"/>
      <c r="AE49" s="79"/>
      <c r="AF49" s="72"/>
      <c r="AG49" s="107">
        <f>IF(AND(L49="電車・バス", AE49="●"), AB49*2, IF(OR(L49="電車・バス",L49= "タクシー"), AB49, 0))</f>
        <v>0</v>
      </c>
      <c r="AH49" s="108"/>
      <c r="AI49" s="108"/>
      <c r="AJ49" s="109"/>
      <c r="AK49" s="79"/>
      <c r="AL49" s="71"/>
      <c r="AM49" s="72"/>
      <c r="AU49" s="66"/>
      <c r="AV49" s="66"/>
      <c r="AW49" s="66"/>
      <c r="AX49" s="65"/>
      <c r="AY49" s="65"/>
      <c r="AZ49" s="66"/>
      <c r="BA49" s="66"/>
      <c r="BB49" s="89"/>
      <c r="BC49" s="82"/>
      <c r="BD49" s="82"/>
      <c r="BE49" s="82"/>
    </row>
    <row r="50" spans="2:57" ht="14.25" customHeight="1" x14ac:dyDescent="0.2">
      <c r="B50" s="86"/>
      <c r="C50" s="87"/>
      <c r="D50" s="88"/>
      <c r="E50" s="90" t="s">
        <v>1</v>
      </c>
      <c r="F50" s="91"/>
      <c r="G50" s="92"/>
      <c r="H50" s="93"/>
      <c r="I50" s="93"/>
      <c r="J50" s="93"/>
      <c r="K50" s="94"/>
      <c r="L50" s="80"/>
      <c r="M50" s="99"/>
      <c r="N50" s="81"/>
      <c r="O50" s="90" t="s">
        <v>41</v>
      </c>
      <c r="P50" s="91"/>
      <c r="Q50" s="198"/>
      <c r="R50" s="95"/>
      <c r="S50" s="95"/>
      <c r="T50" s="95"/>
      <c r="U50" s="96"/>
      <c r="V50" s="5" t="str">
        <f>IF(AE49="","⇒","⇔")</f>
        <v>⇒</v>
      </c>
      <c r="W50" s="97"/>
      <c r="X50" s="95"/>
      <c r="Y50" s="95"/>
      <c r="Z50" s="95"/>
      <c r="AA50" s="98"/>
      <c r="AB50" s="76"/>
      <c r="AC50" s="77"/>
      <c r="AD50" s="78"/>
      <c r="AE50" s="80"/>
      <c r="AF50" s="81"/>
      <c r="AG50" s="110"/>
      <c r="AH50" s="111"/>
      <c r="AI50" s="111"/>
      <c r="AJ50" s="112"/>
      <c r="AK50" s="80"/>
      <c r="AL50" s="99"/>
      <c r="AM50" s="81"/>
      <c r="AU50" s="66"/>
      <c r="AV50" s="66"/>
      <c r="AW50" s="66"/>
      <c r="AX50" s="65"/>
      <c r="AY50" s="65"/>
      <c r="AZ50" s="66"/>
      <c r="BA50" s="66"/>
      <c r="BB50" s="89"/>
      <c r="BC50" s="82"/>
      <c r="BD50" s="82"/>
      <c r="BE50" s="82"/>
    </row>
    <row r="51" spans="2:57" ht="8.1" customHeight="1" x14ac:dyDescent="0.2">
      <c r="B51" s="3"/>
      <c r="C51" s="3"/>
      <c r="D51" s="3"/>
      <c r="E51" s="1"/>
      <c r="F51" s="2"/>
      <c r="G51" s="2"/>
      <c r="H51" s="2"/>
      <c r="I51" s="2"/>
      <c r="O51" s="1"/>
      <c r="P51" s="2"/>
      <c r="AV51" s="8"/>
    </row>
    <row r="52" spans="2:57" s="14" customFormat="1" ht="12" customHeight="1" x14ac:dyDescent="0.15">
      <c r="B52" s="172" t="s">
        <v>2</v>
      </c>
      <c r="C52" s="173"/>
      <c r="D52" s="173"/>
      <c r="E52" s="173"/>
      <c r="F52" s="173"/>
      <c r="G52" s="160" t="s">
        <v>54</v>
      </c>
      <c r="H52" s="161"/>
      <c r="I52" s="161"/>
      <c r="J52" s="161"/>
      <c r="K52" s="161"/>
      <c r="L52" s="161"/>
      <c r="M52" s="161"/>
      <c r="N52" s="161"/>
      <c r="O52" s="161"/>
      <c r="P52" s="161"/>
      <c r="Q52" s="161"/>
      <c r="R52" s="161"/>
      <c r="S52" s="162"/>
      <c r="T52" s="126" t="s">
        <v>6</v>
      </c>
      <c r="U52" s="127"/>
      <c r="V52" s="127"/>
      <c r="W52" s="128"/>
      <c r="X52" s="17"/>
      <c r="Y52" s="18"/>
      <c r="Z52" s="18"/>
      <c r="AA52" s="19"/>
      <c r="AB52" s="119" t="s">
        <v>14</v>
      </c>
      <c r="AC52" s="120"/>
      <c r="AD52" s="120"/>
      <c r="AE52" s="120"/>
      <c r="AF52" s="120"/>
      <c r="AG52" s="120"/>
      <c r="AH52" s="120"/>
      <c r="AI52" s="120"/>
      <c r="AJ52" s="120"/>
      <c r="AK52" s="120"/>
      <c r="AL52" s="120"/>
      <c r="AM52" s="121"/>
    </row>
    <row r="53" spans="2:57" s="14" customFormat="1" ht="13.2" x14ac:dyDescent="0.15">
      <c r="B53" s="174" t="s">
        <v>10</v>
      </c>
      <c r="C53" s="175"/>
      <c r="D53" s="175"/>
      <c r="E53" s="175"/>
      <c r="F53" s="175"/>
      <c r="G53" s="20" t="s">
        <v>49</v>
      </c>
      <c r="H53" s="21"/>
      <c r="I53" s="21"/>
      <c r="J53" s="21"/>
      <c r="K53" s="21"/>
      <c r="L53" s="21" t="s">
        <v>48</v>
      </c>
      <c r="M53" s="21" t="s">
        <v>51</v>
      </c>
      <c r="N53" s="22"/>
      <c r="O53" s="22"/>
      <c r="P53" s="22"/>
      <c r="Q53" s="22"/>
      <c r="R53" s="22"/>
      <c r="S53" s="23"/>
      <c r="T53" s="129">
        <f>SUMIF(L9:N50,B53,AG9:AJ50)-X53</f>
        <v>720</v>
      </c>
      <c r="U53" s="130"/>
      <c r="V53" s="130"/>
      <c r="W53" s="131"/>
      <c r="X53" s="50">
        <f t="array" ref="X53">SUM(IF((G9:G50="接待関連")*(L9:L50=B53),AG9:AG50,""))</f>
        <v>0</v>
      </c>
      <c r="Y53" s="51"/>
      <c r="Z53" s="51"/>
      <c r="AA53" s="11"/>
      <c r="AB53" s="113">
        <f>SUM(AG9:AJ50)</f>
        <v>5720</v>
      </c>
      <c r="AC53" s="114"/>
      <c r="AD53" s="114"/>
      <c r="AE53" s="114"/>
      <c r="AF53" s="114"/>
      <c r="AG53" s="114"/>
      <c r="AH53" s="114"/>
      <c r="AI53" s="114"/>
      <c r="AJ53" s="114"/>
      <c r="AK53" s="114"/>
      <c r="AL53" s="114"/>
      <c r="AM53" s="115"/>
    </row>
    <row r="54" spans="2:57" s="14" customFormat="1" ht="13.2" x14ac:dyDescent="0.15">
      <c r="B54" s="158" t="s">
        <v>11</v>
      </c>
      <c r="C54" s="159"/>
      <c r="D54" s="159"/>
      <c r="E54" s="159"/>
      <c r="F54" s="159"/>
      <c r="G54" s="46" t="s">
        <v>49</v>
      </c>
      <c r="H54" s="47"/>
      <c r="I54" s="47"/>
      <c r="J54" s="47"/>
      <c r="K54" s="47"/>
      <c r="L54" s="47"/>
      <c r="M54" s="47" t="s">
        <v>52</v>
      </c>
      <c r="N54" s="48"/>
      <c r="O54" s="48"/>
      <c r="P54" s="48"/>
      <c r="Q54" s="48"/>
      <c r="R54" s="48"/>
      <c r="S54" s="49"/>
      <c r="T54" s="163">
        <f>SUMIF(L9:N50,B54,AG9:AJ50)-X54</f>
        <v>5000</v>
      </c>
      <c r="U54" s="164"/>
      <c r="V54" s="164"/>
      <c r="W54" s="165"/>
      <c r="X54" s="50">
        <f t="array" ref="X54">SUM(IF((G9:G50="接待関連")*(L9:L50=B54),AG9:AG50,""))</f>
        <v>0</v>
      </c>
      <c r="Y54" s="51"/>
      <c r="Z54" s="51"/>
      <c r="AA54" s="11"/>
      <c r="AB54" s="116"/>
      <c r="AC54" s="117"/>
      <c r="AD54" s="117"/>
      <c r="AE54" s="117"/>
      <c r="AF54" s="117"/>
      <c r="AG54" s="117"/>
      <c r="AH54" s="117"/>
      <c r="AI54" s="117"/>
      <c r="AJ54" s="117"/>
      <c r="AK54" s="117"/>
      <c r="AL54" s="117"/>
      <c r="AM54" s="118"/>
    </row>
    <row r="55" spans="2:57" s="14" customFormat="1" ht="13.2" x14ac:dyDescent="0.15">
      <c r="B55" s="166" t="s">
        <v>39</v>
      </c>
      <c r="C55" s="167"/>
      <c r="D55" s="167"/>
      <c r="E55" s="167"/>
      <c r="F55" s="168"/>
      <c r="G55" s="24" t="s">
        <v>50</v>
      </c>
      <c r="H55" s="25"/>
      <c r="I55" s="25"/>
      <c r="J55" s="25"/>
      <c r="K55" s="25"/>
      <c r="L55" s="25"/>
      <c r="M55" s="25" t="s">
        <v>53</v>
      </c>
      <c r="N55" s="26"/>
      <c r="O55" s="26"/>
      <c r="P55" s="26"/>
      <c r="Q55" s="26"/>
      <c r="R55" s="26"/>
      <c r="S55" s="27"/>
      <c r="T55" s="169">
        <f>SUMIF(G9:I50,"接待関連",AG9:AJ50)</f>
        <v>0</v>
      </c>
      <c r="U55" s="170"/>
      <c r="V55" s="170"/>
      <c r="W55" s="171"/>
      <c r="X55" s="10"/>
      <c r="Y55" s="10"/>
      <c r="Z55" s="10"/>
      <c r="AA55" s="10"/>
      <c r="AB55" s="45"/>
      <c r="AC55" s="45"/>
      <c r="AD55" s="45"/>
      <c r="AE55" s="45"/>
      <c r="AF55" s="45"/>
      <c r="AG55" s="45"/>
      <c r="AH55" s="45"/>
      <c r="AI55" s="45"/>
      <c r="AJ55" s="45"/>
      <c r="AK55" s="45"/>
      <c r="AL55" s="45"/>
      <c r="AM55" s="45"/>
    </row>
    <row r="56" spans="2:57" s="14" customFormat="1" ht="12" x14ac:dyDescent="0.15">
      <c r="B56" s="28"/>
      <c r="C56" s="28"/>
      <c r="D56" s="132"/>
      <c r="E56" s="132"/>
      <c r="F56" s="132"/>
      <c r="G56" s="132"/>
      <c r="H56" s="132"/>
      <c r="I56" s="132"/>
      <c r="J56" s="132"/>
      <c r="K56" s="132"/>
      <c r="L56" s="132"/>
      <c r="M56" s="29"/>
      <c r="N56" s="132"/>
      <c r="O56" s="132"/>
      <c r="P56" s="132"/>
      <c r="Q56" s="132"/>
      <c r="R56" s="132"/>
      <c r="S56" s="132"/>
      <c r="T56" s="132"/>
      <c r="U56" s="132"/>
      <c r="V56" s="29"/>
      <c r="W56" s="29"/>
      <c r="X56" s="29"/>
      <c r="Y56" s="29"/>
      <c r="Z56" s="29"/>
      <c r="AA56" s="29"/>
      <c r="AB56" s="52"/>
      <c r="AC56" s="52"/>
      <c r="AD56" s="52"/>
      <c r="AE56" s="52"/>
      <c r="AF56" s="52"/>
      <c r="AG56" s="52"/>
      <c r="AH56" s="52"/>
      <c r="AI56" s="52"/>
      <c r="AJ56" s="52"/>
      <c r="AK56" s="53"/>
      <c r="AL56" s="53"/>
      <c r="AM56" s="53"/>
    </row>
    <row r="57" spans="2:57" ht="8.1" customHeight="1" x14ac:dyDescent="0.2"/>
    <row r="58" spans="2:57" s="14" customFormat="1" ht="12" customHeight="1" x14ac:dyDescent="0.15">
      <c r="B58" s="133" t="s">
        <v>55</v>
      </c>
      <c r="C58" s="134"/>
      <c r="D58" s="30"/>
      <c r="E58" s="31" t="s">
        <v>56</v>
      </c>
      <c r="F58" s="32"/>
      <c r="G58" s="32"/>
      <c r="H58" s="32"/>
      <c r="I58" s="32"/>
      <c r="J58" s="32"/>
      <c r="K58" s="32"/>
      <c r="L58" s="32"/>
      <c r="M58" s="32"/>
      <c r="N58" s="31"/>
      <c r="O58" s="31"/>
      <c r="P58" s="32"/>
      <c r="Q58" s="31" t="s">
        <v>25</v>
      </c>
      <c r="R58" s="32"/>
      <c r="S58" s="32"/>
      <c r="T58" s="32"/>
      <c r="U58" s="32"/>
      <c r="V58" s="32"/>
      <c r="W58" s="31"/>
      <c r="X58" s="31"/>
      <c r="Y58" s="31"/>
      <c r="Z58" s="31"/>
      <c r="AA58" s="31"/>
      <c r="AB58" s="31" t="s">
        <v>26</v>
      </c>
      <c r="AC58" s="32"/>
      <c r="AD58" s="32"/>
      <c r="AE58" s="32"/>
      <c r="AF58" s="32"/>
      <c r="AG58" s="32"/>
      <c r="AH58" s="32"/>
      <c r="AI58" s="31"/>
      <c r="AJ58" s="31"/>
      <c r="AK58" s="31"/>
      <c r="AL58" s="33"/>
      <c r="AM58" s="34"/>
    </row>
    <row r="59" spans="2:57" s="14" customFormat="1" ht="12" x14ac:dyDescent="0.15">
      <c r="B59" s="135"/>
      <c r="C59" s="136"/>
      <c r="E59" s="122" t="s">
        <v>27</v>
      </c>
      <c r="F59" s="122"/>
      <c r="G59" s="122"/>
      <c r="H59" s="122"/>
      <c r="I59" s="122"/>
      <c r="J59" s="122"/>
      <c r="K59" s="122"/>
      <c r="L59" s="122"/>
      <c r="M59" s="122"/>
      <c r="N59" s="15"/>
      <c r="O59" s="15"/>
      <c r="P59" s="15"/>
      <c r="Q59" s="122" t="s">
        <v>27</v>
      </c>
      <c r="R59" s="122"/>
      <c r="S59" s="122"/>
      <c r="T59" s="122"/>
      <c r="U59" s="122"/>
      <c r="V59" s="122"/>
      <c r="W59" s="122"/>
      <c r="X59" s="122"/>
      <c r="Y59" s="122"/>
      <c r="Z59" s="15"/>
      <c r="AA59" s="15"/>
      <c r="AB59" s="122" t="s">
        <v>27</v>
      </c>
      <c r="AC59" s="122"/>
      <c r="AD59" s="122"/>
      <c r="AE59" s="122"/>
      <c r="AF59" s="122"/>
      <c r="AG59" s="122"/>
      <c r="AH59" s="122"/>
      <c r="AI59" s="122"/>
      <c r="AJ59" s="122"/>
      <c r="AL59" s="35"/>
      <c r="AM59" s="36"/>
    </row>
    <row r="60" spans="2:57" s="14" customFormat="1" ht="12" x14ac:dyDescent="0.15">
      <c r="B60" s="135"/>
      <c r="C60" s="136"/>
      <c r="E60" s="122"/>
      <c r="F60" s="122"/>
      <c r="G60" s="122"/>
      <c r="H60" s="122"/>
      <c r="I60" s="122"/>
      <c r="J60" s="122"/>
      <c r="K60" s="122"/>
      <c r="L60" s="122"/>
      <c r="M60" s="122"/>
      <c r="N60" s="15"/>
      <c r="O60" s="15"/>
      <c r="P60" s="15"/>
      <c r="Q60" s="122"/>
      <c r="R60" s="122"/>
      <c r="S60" s="122"/>
      <c r="T60" s="122"/>
      <c r="U60" s="122"/>
      <c r="V60" s="122"/>
      <c r="W60" s="122"/>
      <c r="X60" s="122"/>
      <c r="Y60" s="122"/>
      <c r="Z60" s="15"/>
      <c r="AA60" s="15"/>
      <c r="AB60" s="122"/>
      <c r="AC60" s="122"/>
      <c r="AD60" s="122"/>
      <c r="AE60" s="122"/>
      <c r="AF60" s="122"/>
      <c r="AG60" s="122"/>
      <c r="AH60" s="122"/>
      <c r="AI60" s="122"/>
      <c r="AJ60" s="122"/>
      <c r="AL60" s="37"/>
      <c r="AM60" s="38"/>
    </row>
    <row r="61" spans="2:57" s="14" customFormat="1" ht="12" x14ac:dyDescent="0.15">
      <c r="B61" s="135"/>
      <c r="C61" s="136"/>
      <c r="E61" s="123" t="s">
        <v>57</v>
      </c>
      <c r="F61" s="124"/>
      <c r="G61" s="125"/>
      <c r="H61" s="123" t="s">
        <v>13</v>
      </c>
      <c r="I61" s="124"/>
      <c r="J61" s="125"/>
      <c r="K61" s="123" t="s">
        <v>15</v>
      </c>
      <c r="L61" s="124"/>
      <c r="M61" s="125"/>
      <c r="N61" s="15"/>
      <c r="O61" s="15"/>
      <c r="P61" s="15"/>
      <c r="Q61" s="123" t="s">
        <v>28</v>
      </c>
      <c r="R61" s="124"/>
      <c r="S61" s="125"/>
      <c r="T61" s="123" t="s">
        <v>15</v>
      </c>
      <c r="U61" s="124"/>
      <c r="V61" s="125"/>
      <c r="W61" s="15"/>
      <c r="X61" s="15"/>
      <c r="Y61" s="15"/>
      <c r="Z61" s="15"/>
      <c r="AA61" s="15"/>
      <c r="AB61" s="123" t="s">
        <v>29</v>
      </c>
      <c r="AC61" s="124"/>
      <c r="AD61" s="125"/>
      <c r="AE61" s="123" t="s">
        <v>16</v>
      </c>
      <c r="AF61" s="124"/>
      <c r="AG61" s="124"/>
      <c r="AH61" s="124"/>
      <c r="AI61" s="124"/>
      <c r="AJ61" s="124"/>
      <c r="AK61" s="124"/>
      <c r="AL61" s="124"/>
      <c r="AM61" s="125"/>
    </row>
    <row r="62" spans="2:57" s="14" customFormat="1" ht="12" x14ac:dyDescent="0.15">
      <c r="B62" s="135"/>
      <c r="C62" s="136"/>
      <c r="E62" s="139"/>
      <c r="F62" s="140"/>
      <c r="G62" s="141"/>
      <c r="H62" s="139"/>
      <c r="I62" s="140"/>
      <c r="J62" s="141"/>
      <c r="K62" s="139"/>
      <c r="L62" s="140"/>
      <c r="M62" s="141"/>
      <c r="N62" s="15"/>
      <c r="O62" s="15"/>
      <c r="P62" s="15"/>
      <c r="Q62" s="139"/>
      <c r="R62" s="140"/>
      <c r="S62" s="141"/>
      <c r="T62" s="139"/>
      <c r="U62" s="140"/>
      <c r="V62" s="141"/>
      <c r="W62" s="35"/>
      <c r="X62" s="35"/>
      <c r="Y62" s="35"/>
      <c r="Z62" s="35"/>
      <c r="AA62" s="35"/>
      <c r="AB62" s="153"/>
      <c r="AC62" s="149"/>
      <c r="AD62" s="150"/>
      <c r="AE62" s="39"/>
      <c r="AF62" s="33"/>
      <c r="AG62" s="33"/>
      <c r="AH62" s="33"/>
      <c r="AI62" s="33"/>
      <c r="AJ62" s="33"/>
      <c r="AK62" s="33"/>
      <c r="AL62" s="33"/>
      <c r="AM62" s="34"/>
    </row>
    <row r="63" spans="2:57" s="14" customFormat="1" ht="12" x14ac:dyDescent="0.15">
      <c r="B63" s="135"/>
      <c r="C63" s="136"/>
      <c r="E63" s="142"/>
      <c r="F63" s="143"/>
      <c r="G63" s="144"/>
      <c r="H63" s="142"/>
      <c r="I63" s="143"/>
      <c r="J63" s="144"/>
      <c r="K63" s="142"/>
      <c r="L63" s="143"/>
      <c r="M63" s="144"/>
      <c r="N63" s="15"/>
      <c r="O63" s="15"/>
      <c r="P63" s="15"/>
      <c r="Q63" s="142"/>
      <c r="R63" s="143"/>
      <c r="S63" s="144"/>
      <c r="T63" s="142"/>
      <c r="U63" s="143"/>
      <c r="V63" s="144"/>
      <c r="W63" s="35"/>
      <c r="X63" s="35"/>
      <c r="Y63" s="35"/>
      <c r="Z63" s="35"/>
      <c r="AA63" s="35"/>
      <c r="AB63" s="155"/>
      <c r="AC63" s="156"/>
      <c r="AD63" s="157"/>
      <c r="AE63" s="40"/>
      <c r="AF63" s="35"/>
      <c r="AG63" s="35"/>
      <c r="AH63" s="35"/>
      <c r="AI63" s="35"/>
      <c r="AJ63" s="35"/>
      <c r="AK63" s="35"/>
      <c r="AL63" s="35"/>
      <c r="AM63" s="36"/>
    </row>
    <row r="64" spans="2:57" s="14" customFormat="1" ht="13.65" customHeight="1" x14ac:dyDescent="0.15">
      <c r="B64" s="135"/>
      <c r="C64" s="136"/>
      <c r="E64" s="145"/>
      <c r="F64" s="132"/>
      <c r="G64" s="146"/>
      <c r="H64" s="145"/>
      <c r="I64" s="132"/>
      <c r="J64" s="146"/>
      <c r="K64" s="145"/>
      <c r="L64" s="132"/>
      <c r="M64" s="146"/>
      <c r="N64" s="15"/>
      <c r="O64" s="15"/>
      <c r="P64" s="15"/>
      <c r="Q64" s="145"/>
      <c r="R64" s="132"/>
      <c r="S64" s="146"/>
      <c r="T64" s="145"/>
      <c r="U64" s="132"/>
      <c r="V64" s="146"/>
      <c r="W64" s="35"/>
      <c r="X64" s="35"/>
      <c r="Y64" s="35"/>
      <c r="Z64" s="35"/>
      <c r="AA64" s="35"/>
      <c r="AB64" s="154"/>
      <c r="AC64" s="151"/>
      <c r="AD64" s="152"/>
      <c r="AE64" s="41"/>
      <c r="AF64" s="37"/>
      <c r="AG64" s="37"/>
      <c r="AH64" s="37"/>
      <c r="AI64" s="37"/>
      <c r="AJ64" s="37"/>
      <c r="AK64" s="37"/>
      <c r="AL64" s="37"/>
      <c r="AM64" s="38"/>
    </row>
    <row r="65" spans="2:39" s="14" customFormat="1" ht="12" x14ac:dyDescent="0.15">
      <c r="B65" s="135"/>
      <c r="C65" s="136"/>
      <c r="D65" s="37"/>
      <c r="E65" s="37"/>
      <c r="F65" s="37"/>
      <c r="G65" s="37"/>
      <c r="H65" s="37"/>
      <c r="I65" s="37"/>
      <c r="J65" s="37"/>
      <c r="K65" s="37"/>
      <c r="L65" s="37"/>
      <c r="M65" s="37"/>
      <c r="N65" s="37"/>
      <c r="O65" s="37"/>
      <c r="P65" s="37"/>
      <c r="Q65" s="37"/>
      <c r="R65" s="37"/>
      <c r="S65" s="37"/>
      <c r="T65" s="37"/>
      <c r="U65" s="37"/>
      <c r="V65" s="37"/>
      <c r="W65" s="37"/>
      <c r="X65" s="37"/>
      <c r="Y65" s="37"/>
      <c r="Z65" s="37"/>
      <c r="AA65" s="37"/>
      <c r="AB65" s="42"/>
      <c r="AC65" s="42"/>
      <c r="AD65" s="42"/>
      <c r="AE65" s="42"/>
      <c r="AF65" s="42"/>
      <c r="AG65" s="42"/>
      <c r="AH65" s="29"/>
      <c r="AI65" s="29"/>
      <c r="AJ65" s="29"/>
      <c r="AK65" s="29"/>
      <c r="AL65" s="29"/>
      <c r="AM65" s="43"/>
    </row>
    <row r="66" spans="2:39" s="14" customFormat="1" ht="12" x14ac:dyDescent="0.15">
      <c r="B66" s="135"/>
      <c r="C66" s="136"/>
      <c r="D66" s="149" t="s">
        <v>30</v>
      </c>
      <c r="E66" s="149"/>
      <c r="F66" s="149"/>
      <c r="G66" s="150"/>
      <c r="H66" s="153" t="s">
        <v>58</v>
      </c>
      <c r="I66" s="149"/>
      <c r="J66" s="149"/>
      <c r="K66" s="149"/>
      <c r="L66" s="149"/>
      <c r="M66" s="149"/>
      <c r="N66" s="149" t="s">
        <v>59</v>
      </c>
      <c r="O66" s="149"/>
      <c r="P66" s="149"/>
      <c r="Q66" s="149"/>
      <c r="R66" s="149"/>
      <c r="S66" s="149"/>
      <c r="T66" s="149"/>
      <c r="U66" s="149"/>
      <c r="V66" s="149" t="s">
        <v>60</v>
      </c>
      <c r="W66" s="149"/>
      <c r="X66" s="149"/>
      <c r="Y66" s="149"/>
      <c r="Z66" s="149"/>
      <c r="AA66" s="149"/>
      <c r="AB66" s="147" t="s">
        <v>31</v>
      </c>
      <c r="AC66" s="147"/>
      <c r="AD66" s="147"/>
      <c r="AE66" s="147"/>
      <c r="AF66" s="147"/>
      <c r="AG66" s="147"/>
      <c r="AH66" s="31"/>
      <c r="AI66" s="31"/>
      <c r="AJ66" s="31"/>
      <c r="AK66" s="31"/>
      <c r="AL66" s="31"/>
      <c r="AM66" s="44"/>
    </row>
    <row r="67" spans="2:39" s="14" customFormat="1" ht="12" x14ac:dyDescent="0.15">
      <c r="B67" s="137"/>
      <c r="C67" s="138"/>
      <c r="D67" s="151"/>
      <c r="E67" s="151"/>
      <c r="F67" s="151"/>
      <c r="G67" s="152"/>
      <c r="H67" s="154"/>
      <c r="I67" s="151"/>
      <c r="J67" s="151"/>
      <c r="K67" s="151"/>
      <c r="L67" s="151"/>
      <c r="M67" s="151"/>
      <c r="N67" s="151"/>
      <c r="O67" s="151"/>
      <c r="P67" s="151"/>
      <c r="Q67" s="151"/>
      <c r="R67" s="151"/>
      <c r="S67" s="151"/>
      <c r="T67" s="151"/>
      <c r="U67" s="151"/>
      <c r="V67" s="151"/>
      <c r="W67" s="151"/>
      <c r="X67" s="151"/>
      <c r="Y67" s="151"/>
      <c r="Z67" s="151"/>
      <c r="AA67" s="151"/>
      <c r="AB67" s="148"/>
      <c r="AC67" s="148"/>
      <c r="AD67" s="148"/>
      <c r="AE67" s="148"/>
      <c r="AF67" s="148"/>
      <c r="AG67" s="148"/>
      <c r="AH67" s="29"/>
      <c r="AI67" s="29"/>
      <c r="AJ67" s="29"/>
      <c r="AK67" s="29"/>
      <c r="AL67" s="29"/>
      <c r="AM67" s="43"/>
    </row>
  </sheetData>
  <sheetProtection password="CC6F" sheet="1"/>
  <mergeCells count="653">
    <mergeCell ref="AU43:AU44"/>
    <mergeCell ref="AV43:AV44"/>
    <mergeCell ref="AK43:AM44"/>
    <mergeCell ref="E49:F49"/>
    <mergeCell ref="B43:D44"/>
    <mergeCell ref="G49:K49"/>
    <mergeCell ref="L49:N50"/>
    <mergeCell ref="AB43:AD44"/>
    <mergeCell ref="E43:F43"/>
    <mergeCell ref="G43:K43"/>
    <mergeCell ref="L43:N44"/>
    <mergeCell ref="O44:P44"/>
    <mergeCell ref="E44:F44"/>
    <mergeCell ref="G44:K44"/>
    <mergeCell ref="W44:AA44"/>
    <mergeCell ref="B47:D48"/>
    <mergeCell ref="E47:F47"/>
    <mergeCell ref="L45:N46"/>
    <mergeCell ref="O45:P45"/>
    <mergeCell ref="G45:K45"/>
    <mergeCell ref="G46:K46"/>
    <mergeCell ref="AK45:AM46"/>
    <mergeCell ref="AK47:AM48"/>
    <mergeCell ref="AB45:AD46"/>
    <mergeCell ref="G56:I56"/>
    <mergeCell ref="J56:L56"/>
    <mergeCell ref="N56:R56"/>
    <mergeCell ref="S56:U56"/>
    <mergeCell ref="T61:V61"/>
    <mergeCell ref="AB61:AD61"/>
    <mergeCell ref="AE61:AM61"/>
    <mergeCell ref="E62:G64"/>
    <mergeCell ref="H62:J64"/>
    <mergeCell ref="K62:M64"/>
    <mergeCell ref="Q62:S64"/>
    <mergeCell ref="T62:V64"/>
    <mergeCell ref="AB62:AD64"/>
    <mergeCell ref="B45:D46"/>
    <mergeCell ref="E45:F45"/>
    <mergeCell ref="E46:F46"/>
    <mergeCell ref="T55:W55"/>
    <mergeCell ref="T52:W52"/>
    <mergeCell ref="G52:S52"/>
    <mergeCell ref="T54:W54"/>
    <mergeCell ref="T53:W53"/>
    <mergeCell ref="B54:F54"/>
    <mergeCell ref="Q49:S49"/>
    <mergeCell ref="E48:F48"/>
    <mergeCell ref="G48:K48"/>
    <mergeCell ref="O48:P48"/>
    <mergeCell ref="E50:F50"/>
    <mergeCell ref="G50:K50"/>
    <mergeCell ref="B52:F52"/>
    <mergeCell ref="B53:F53"/>
    <mergeCell ref="B55:F55"/>
    <mergeCell ref="O49:P49"/>
    <mergeCell ref="O50:P50"/>
    <mergeCell ref="G47:K47"/>
    <mergeCell ref="L47:N48"/>
    <mergeCell ref="B49:D50"/>
    <mergeCell ref="B58:C67"/>
    <mergeCell ref="E59:M60"/>
    <mergeCell ref="Q59:Y60"/>
    <mergeCell ref="AB59:AJ60"/>
    <mergeCell ref="E61:G61"/>
    <mergeCell ref="H61:J61"/>
    <mergeCell ref="K61:M61"/>
    <mergeCell ref="Q61:S61"/>
    <mergeCell ref="W48:AA48"/>
    <mergeCell ref="AB47:AD48"/>
    <mergeCell ref="AE47:AF48"/>
    <mergeCell ref="W50:AA50"/>
    <mergeCell ref="Y47:AA47"/>
    <mergeCell ref="Q47:S47"/>
    <mergeCell ref="U49:W49"/>
    <mergeCell ref="Q50:U50"/>
    <mergeCell ref="AB52:AM52"/>
    <mergeCell ref="AB53:AM54"/>
    <mergeCell ref="AB66:AG67"/>
    <mergeCell ref="D66:G67"/>
    <mergeCell ref="H66:M67"/>
    <mergeCell ref="N66:U67"/>
    <mergeCell ref="V66:AA67"/>
    <mergeCell ref="D56:F56"/>
    <mergeCell ref="AE45:AF46"/>
    <mergeCell ref="AG45:AJ46"/>
    <mergeCell ref="Q46:U46"/>
    <mergeCell ref="W46:AA46"/>
    <mergeCell ref="U45:W45"/>
    <mergeCell ref="Y45:AA45"/>
    <mergeCell ref="Q44:U44"/>
    <mergeCell ref="U43:W43"/>
    <mergeCell ref="Y43:AA43"/>
    <mergeCell ref="AE43:AF44"/>
    <mergeCell ref="AG43:AJ44"/>
    <mergeCell ref="W42:AA42"/>
    <mergeCell ref="AB39:AD40"/>
    <mergeCell ref="E40:F40"/>
    <mergeCell ref="Y41:AA41"/>
    <mergeCell ref="U41:W41"/>
    <mergeCell ref="G41:K41"/>
    <mergeCell ref="L39:N40"/>
    <mergeCell ref="G40:K40"/>
    <mergeCell ref="Q40:U40"/>
    <mergeCell ref="O35:P35"/>
    <mergeCell ref="O36:P36"/>
    <mergeCell ref="AB31:AD32"/>
    <mergeCell ref="E32:F32"/>
    <mergeCell ref="G32:K32"/>
    <mergeCell ref="Q32:U32"/>
    <mergeCell ref="W32:AA32"/>
    <mergeCell ref="O31:P31"/>
    <mergeCell ref="O32:P32"/>
    <mergeCell ref="AB33:AD34"/>
    <mergeCell ref="E36:F36"/>
    <mergeCell ref="G36:K36"/>
    <mergeCell ref="Q36:U36"/>
    <mergeCell ref="W36:AA36"/>
    <mergeCell ref="G35:K35"/>
    <mergeCell ref="L35:N36"/>
    <mergeCell ref="Q35:S35"/>
    <mergeCell ref="G34:K34"/>
    <mergeCell ref="Q34:U34"/>
    <mergeCell ref="W34:AA34"/>
    <mergeCell ref="G30:K30"/>
    <mergeCell ref="Q30:U30"/>
    <mergeCell ref="B13:D14"/>
    <mergeCell ref="U13:W13"/>
    <mergeCell ref="Y13:AA13"/>
    <mergeCell ref="G14:K14"/>
    <mergeCell ref="Q14:U14"/>
    <mergeCell ref="W14:AA14"/>
    <mergeCell ref="E13:F13"/>
    <mergeCell ref="Q16:U16"/>
    <mergeCell ref="W16:AA16"/>
    <mergeCell ref="B19:D20"/>
    <mergeCell ref="U19:W19"/>
    <mergeCell ref="Y19:AA19"/>
    <mergeCell ref="E19:F19"/>
    <mergeCell ref="G19:K19"/>
    <mergeCell ref="E3:G3"/>
    <mergeCell ref="E9:F9"/>
    <mergeCell ref="E10:F10"/>
    <mergeCell ref="E8:K8"/>
    <mergeCell ref="B8:D8"/>
    <mergeCell ref="B4:D6"/>
    <mergeCell ref="E4:G6"/>
    <mergeCell ref="E16:F16"/>
    <mergeCell ref="G16:K16"/>
    <mergeCell ref="E14:F14"/>
    <mergeCell ref="Y11:AA11"/>
    <mergeCell ref="Q12:U12"/>
    <mergeCell ref="W12:AA12"/>
    <mergeCell ref="U11:W11"/>
    <mergeCell ref="G13:K13"/>
    <mergeCell ref="L13:N14"/>
    <mergeCell ref="Q13:S13"/>
    <mergeCell ref="L11:N12"/>
    <mergeCell ref="Q11:S11"/>
    <mergeCell ref="O13:P13"/>
    <mergeCell ref="O12:P12"/>
    <mergeCell ref="O11:P11"/>
    <mergeCell ref="AZ11:AZ12"/>
    <mergeCell ref="BA11:BA12"/>
    <mergeCell ref="BB11:BB12"/>
    <mergeCell ref="B27:D28"/>
    <mergeCell ref="U27:W27"/>
    <mergeCell ref="Q9:S9"/>
    <mergeCell ref="U9:W9"/>
    <mergeCell ref="G9:K9"/>
    <mergeCell ref="G10:K10"/>
    <mergeCell ref="B9:D10"/>
    <mergeCell ref="B11:D12"/>
    <mergeCell ref="G12:K12"/>
    <mergeCell ref="B17:D18"/>
    <mergeCell ref="U17:W17"/>
    <mergeCell ref="E17:F17"/>
    <mergeCell ref="G17:K17"/>
    <mergeCell ref="W22:AA22"/>
    <mergeCell ref="E22:F22"/>
    <mergeCell ref="G22:K22"/>
    <mergeCell ref="Q22:U22"/>
    <mergeCell ref="Q24:U24"/>
    <mergeCell ref="W24:AA24"/>
    <mergeCell ref="O26:P26"/>
    <mergeCell ref="E11:F11"/>
    <mergeCell ref="AX13:AX14"/>
    <mergeCell ref="BA13:BA14"/>
    <mergeCell ref="BB13:BB14"/>
    <mergeCell ref="BC15:BC16"/>
    <mergeCell ref="AK13:AM14"/>
    <mergeCell ref="AW9:AW10"/>
    <mergeCell ref="BC13:BC14"/>
    <mergeCell ref="BD13:BD14"/>
    <mergeCell ref="BE13:BE14"/>
    <mergeCell ref="AU9:AU10"/>
    <mergeCell ref="AV9:AV10"/>
    <mergeCell ref="AX9:AX10"/>
    <mergeCell ref="AY9:AY10"/>
    <mergeCell ref="AZ9:AZ10"/>
    <mergeCell ref="BA9:BA10"/>
    <mergeCell ref="BB9:BB10"/>
    <mergeCell ref="BC9:BC10"/>
    <mergeCell ref="BD9:BD10"/>
    <mergeCell ref="BE9:BE10"/>
    <mergeCell ref="AU11:AU12"/>
    <mergeCell ref="AV11:AV12"/>
    <mergeCell ref="AW11:AW12"/>
    <mergeCell ref="AX11:AX12"/>
    <mergeCell ref="AY11:AY12"/>
    <mergeCell ref="BC11:BC12"/>
    <mergeCell ref="BD11:BD12"/>
    <mergeCell ref="BE11:BE12"/>
    <mergeCell ref="B15:D16"/>
    <mergeCell ref="U15:W15"/>
    <mergeCell ref="Y15:AA15"/>
    <mergeCell ref="E15:F15"/>
    <mergeCell ref="G15:K15"/>
    <mergeCell ref="BB15:BB16"/>
    <mergeCell ref="AU15:AU16"/>
    <mergeCell ref="AY13:AY14"/>
    <mergeCell ref="AZ13:AZ14"/>
    <mergeCell ref="L15:N16"/>
    <mergeCell ref="Q15:S15"/>
    <mergeCell ref="O16:P16"/>
    <mergeCell ref="O15:P15"/>
    <mergeCell ref="AV15:AV16"/>
    <mergeCell ref="AW15:AW16"/>
    <mergeCell ref="AX15:AX16"/>
    <mergeCell ref="AE15:AF16"/>
    <mergeCell ref="AG15:AJ16"/>
    <mergeCell ref="AU13:AU14"/>
    <mergeCell ref="AV13:AV14"/>
    <mergeCell ref="AW13:AW14"/>
    <mergeCell ref="BC17:BC18"/>
    <mergeCell ref="BD17:BD18"/>
    <mergeCell ref="BE17:BE18"/>
    <mergeCell ref="AY17:AY18"/>
    <mergeCell ref="AZ17:AZ18"/>
    <mergeCell ref="BA17:BA18"/>
    <mergeCell ref="BB17:BB18"/>
    <mergeCell ref="AU17:AU18"/>
    <mergeCell ref="BD15:BD16"/>
    <mergeCell ref="BE15:BE16"/>
    <mergeCell ref="AY15:AY16"/>
    <mergeCell ref="AZ15:AZ16"/>
    <mergeCell ref="BA15:BA16"/>
    <mergeCell ref="AV17:AV18"/>
    <mergeCell ref="AW17:AW18"/>
    <mergeCell ref="AX17:AX18"/>
    <mergeCell ref="AE17:AF18"/>
    <mergeCell ref="W18:AA18"/>
    <mergeCell ref="AB19:AD20"/>
    <mergeCell ref="E20:F20"/>
    <mergeCell ref="G20:K20"/>
    <mergeCell ref="Q20:U20"/>
    <mergeCell ref="W20:AA20"/>
    <mergeCell ref="AB17:AD18"/>
    <mergeCell ref="E18:F18"/>
    <mergeCell ref="G18:K18"/>
    <mergeCell ref="Q18:U18"/>
    <mergeCell ref="L17:N18"/>
    <mergeCell ref="Q17:S17"/>
    <mergeCell ref="O18:P18"/>
    <mergeCell ref="O17:P17"/>
    <mergeCell ref="O20:P20"/>
    <mergeCell ref="BD19:BD20"/>
    <mergeCell ref="L21:N22"/>
    <mergeCell ref="Q21:S21"/>
    <mergeCell ref="O21:P21"/>
    <mergeCell ref="O22:P22"/>
    <mergeCell ref="L19:N20"/>
    <mergeCell ref="Q19:S19"/>
    <mergeCell ref="O19:P19"/>
    <mergeCell ref="AG21:AJ22"/>
    <mergeCell ref="BB19:BB20"/>
    <mergeCell ref="AU19:AU20"/>
    <mergeCell ref="AV19:AV20"/>
    <mergeCell ref="AW19:AW20"/>
    <mergeCell ref="AX19:AX20"/>
    <mergeCell ref="AK19:AM20"/>
    <mergeCell ref="AG19:AJ20"/>
    <mergeCell ref="BE19:BE20"/>
    <mergeCell ref="AY19:AY20"/>
    <mergeCell ref="AZ19:AZ20"/>
    <mergeCell ref="BA19:BA20"/>
    <mergeCell ref="AE19:AF20"/>
    <mergeCell ref="B21:D22"/>
    <mergeCell ref="U21:W21"/>
    <mergeCell ref="Y21:AA21"/>
    <mergeCell ref="E21:F21"/>
    <mergeCell ref="G21:K21"/>
    <mergeCell ref="BB21:BB22"/>
    <mergeCell ref="AU21:AU22"/>
    <mergeCell ref="AV21:AV22"/>
    <mergeCell ref="AW21:AW22"/>
    <mergeCell ref="AX21:AX22"/>
    <mergeCell ref="AK21:AM22"/>
    <mergeCell ref="BC21:BC22"/>
    <mergeCell ref="BD21:BD22"/>
    <mergeCell ref="BE21:BE22"/>
    <mergeCell ref="AY21:AY22"/>
    <mergeCell ref="AZ21:AZ22"/>
    <mergeCell ref="BA21:BA22"/>
    <mergeCell ref="AE21:AF22"/>
    <mergeCell ref="BC19:BC20"/>
    <mergeCell ref="BE23:BE24"/>
    <mergeCell ref="B23:D24"/>
    <mergeCell ref="U23:W23"/>
    <mergeCell ref="Y23:AA23"/>
    <mergeCell ref="E23:F23"/>
    <mergeCell ref="G23:K23"/>
    <mergeCell ref="L23:N24"/>
    <mergeCell ref="Q23:S23"/>
    <mergeCell ref="O23:P23"/>
    <mergeCell ref="O24:P24"/>
    <mergeCell ref="E24:F24"/>
    <mergeCell ref="AZ23:AZ24"/>
    <mergeCell ref="BA23:BA24"/>
    <mergeCell ref="AE23:AF24"/>
    <mergeCell ref="AG23:AJ24"/>
    <mergeCell ref="BB23:BB24"/>
    <mergeCell ref="AU23:AU24"/>
    <mergeCell ref="AV23:AV24"/>
    <mergeCell ref="AW23:AW24"/>
    <mergeCell ref="BC23:BC24"/>
    <mergeCell ref="BD23:BD24"/>
    <mergeCell ref="AX23:AX24"/>
    <mergeCell ref="AK23:AM24"/>
    <mergeCell ref="G24:K24"/>
    <mergeCell ref="AU25:AU26"/>
    <mergeCell ref="AV25:AV26"/>
    <mergeCell ref="AB25:AD26"/>
    <mergeCell ref="AW25:AW26"/>
    <mergeCell ref="AY23:AY24"/>
    <mergeCell ref="AX25:AX26"/>
    <mergeCell ref="AK25:AM26"/>
    <mergeCell ref="B25:D26"/>
    <mergeCell ref="U25:W25"/>
    <mergeCell ref="Y25:AA25"/>
    <mergeCell ref="E25:F25"/>
    <mergeCell ref="G25:K25"/>
    <mergeCell ref="L25:N26"/>
    <mergeCell ref="Q25:S25"/>
    <mergeCell ref="O25:P25"/>
    <mergeCell ref="E26:F26"/>
    <mergeCell ref="G26:K26"/>
    <mergeCell ref="Q26:U26"/>
    <mergeCell ref="W26:AA26"/>
    <mergeCell ref="AE25:AF26"/>
    <mergeCell ref="AG25:AJ26"/>
    <mergeCell ref="BC25:BC26"/>
    <mergeCell ref="BD25:BD26"/>
    <mergeCell ref="BE25:BE26"/>
    <mergeCell ref="AY25:AY26"/>
    <mergeCell ref="AZ25:AZ26"/>
    <mergeCell ref="BA25:BA26"/>
    <mergeCell ref="BB25:BB26"/>
    <mergeCell ref="BE27:BE28"/>
    <mergeCell ref="AZ27:AZ28"/>
    <mergeCell ref="BA27:BA28"/>
    <mergeCell ref="BB27:BB28"/>
    <mergeCell ref="BC27:BC28"/>
    <mergeCell ref="AX27:AX28"/>
    <mergeCell ref="AY27:AY28"/>
    <mergeCell ref="BD27:BD28"/>
    <mergeCell ref="AU27:AU28"/>
    <mergeCell ref="AV27:AV28"/>
    <mergeCell ref="AW27:AW28"/>
    <mergeCell ref="G28:K28"/>
    <mergeCell ref="Q28:U28"/>
    <mergeCell ref="O27:P27"/>
    <mergeCell ref="AK27:AM28"/>
    <mergeCell ref="Y27:AA27"/>
    <mergeCell ref="O28:P28"/>
    <mergeCell ref="G27:K27"/>
    <mergeCell ref="L27:N28"/>
    <mergeCell ref="Q27:S27"/>
    <mergeCell ref="BE29:BE30"/>
    <mergeCell ref="AY29:AY30"/>
    <mergeCell ref="AZ29:AZ30"/>
    <mergeCell ref="BA29:BA30"/>
    <mergeCell ref="AE29:AF30"/>
    <mergeCell ref="AG29:AJ30"/>
    <mergeCell ref="BB29:BB30"/>
    <mergeCell ref="AU29:AU30"/>
    <mergeCell ref="AV29:AV30"/>
    <mergeCell ref="AW29:AW30"/>
    <mergeCell ref="BC29:BC30"/>
    <mergeCell ref="BD29:BD30"/>
    <mergeCell ref="AX29:AX30"/>
    <mergeCell ref="BB31:BB32"/>
    <mergeCell ref="AU31:AU32"/>
    <mergeCell ref="AV31:AV32"/>
    <mergeCell ref="W30:AA30"/>
    <mergeCell ref="AK29:AM30"/>
    <mergeCell ref="AW31:AW32"/>
    <mergeCell ref="AX31:AX32"/>
    <mergeCell ref="B31:D32"/>
    <mergeCell ref="U31:W31"/>
    <mergeCell ref="Y31:AA31"/>
    <mergeCell ref="E31:F31"/>
    <mergeCell ref="G31:K31"/>
    <mergeCell ref="AK31:AM32"/>
    <mergeCell ref="L31:N32"/>
    <mergeCell ref="Q31:S31"/>
    <mergeCell ref="B29:D30"/>
    <mergeCell ref="U29:W29"/>
    <mergeCell ref="Y29:AA29"/>
    <mergeCell ref="E29:F29"/>
    <mergeCell ref="G29:K29"/>
    <mergeCell ref="L29:N30"/>
    <mergeCell ref="Q29:S29"/>
    <mergeCell ref="O29:P29"/>
    <mergeCell ref="O30:P30"/>
    <mergeCell ref="BC31:BC32"/>
    <mergeCell ref="BD31:BD32"/>
    <mergeCell ref="BE31:BE32"/>
    <mergeCell ref="AY31:AY32"/>
    <mergeCell ref="AZ31:AZ32"/>
    <mergeCell ref="BA31:BA32"/>
    <mergeCell ref="AE31:AF32"/>
    <mergeCell ref="B33:D34"/>
    <mergeCell ref="U33:W33"/>
    <mergeCell ref="Y33:AA33"/>
    <mergeCell ref="E33:F33"/>
    <mergeCell ref="G33:K33"/>
    <mergeCell ref="L33:N34"/>
    <mergeCell ref="Q33:S33"/>
    <mergeCell ref="O33:P33"/>
    <mergeCell ref="O34:P34"/>
    <mergeCell ref="E34:F34"/>
    <mergeCell ref="BD33:BD34"/>
    <mergeCell ref="BE33:BE34"/>
    <mergeCell ref="AY33:AY34"/>
    <mergeCell ref="AZ33:AZ34"/>
    <mergeCell ref="BA33:BA34"/>
    <mergeCell ref="AE33:AF34"/>
    <mergeCell ref="AG33:AJ34"/>
    <mergeCell ref="BB33:BB34"/>
    <mergeCell ref="AU33:AU34"/>
    <mergeCell ref="AV33:AV34"/>
    <mergeCell ref="AU35:AU36"/>
    <mergeCell ref="AV35:AV36"/>
    <mergeCell ref="AW35:AW36"/>
    <mergeCell ref="AX35:AX36"/>
    <mergeCell ref="AK35:AM36"/>
    <mergeCell ref="BC33:BC34"/>
    <mergeCell ref="AW33:AW34"/>
    <mergeCell ref="AX33:AX34"/>
    <mergeCell ref="BC35:BC36"/>
    <mergeCell ref="AK33:AM34"/>
    <mergeCell ref="AB35:AD36"/>
    <mergeCell ref="AV37:AV38"/>
    <mergeCell ref="W38:AA38"/>
    <mergeCell ref="BE37:BE38"/>
    <mergeCell ref="AY37:AY38"/>
    <mergeCell ref="AZ37:AZ38"/>
    <mergeCell ref="BA37:BA38"/>
    <mergeCell ref="BB37:BB38"/>
    <mergeCell ref="AE37:AF38"/>
    <mergeCell ref="BD35:BD36"/>
    <mergeCell ref="BE35:BE36"/>
    <mergeCell ref="AY35:AY36"/>
    <mergeCell ref="AZ35:AZ36"/>
    <mergeCell ref="BA35:BA36"/>
    <mergeCell ref="BB35:BB36"/>
    <mergeCell ref="AW37:AW38"/>
    <mergeCell ref="AX37:AX38"/>
    <mergeCell ref="BC37:BC38"/>
    <mergeCell ref="BD37:BD38"/>
    <mergeCell ref="B39:D40"/>
    <mergeCell ref="U39:W39"/>
    <mergeCell ref="Y39:AA39"/>
    <mergeCell ref="E39:F39"/>
    <mergeCell ref="G39:K39"/>
    <mergeCell ref="AY39:AY40"/>
    <mergeCell ref="AZ39:AZ40"/>
    <mergeCell ref="BA39:BA40"/>
    <mergeCell ref="BB39:BB40"/>
    <mergeCell ref="AU39:AU40"/>
    <mergeCell ref="AV39:AV40"/>
    <mergeCell ref="Q39:S39"/>
    <mergeCell ref="AK37:AM38"/>
    <mergeCell ref="Y37:AA37"/>
    <mergeCell ref="E37:F37"/>
    <mergeCell ref="G37:K37"/>
    <mergeCell ref="AV45:AV46"/>
    <mergeCell ref="AW39:AW40"/>
    <mergeCell ref="AX39:AX40"/>
    <mergeCell ref="BC39:BC40"/>
    <mergeCell ref="BD39:BD40"/>
    <mergeCell ref="AW43:AW44"/>
    <mergeCell ref="AX43:AX44"/>
    <mergeCell ref="AU41:AU42"/>
    <mergeCell ref="AV41:AV42"/>
    <mergeCell ref="AW41:AW42"/>
    <mergeCell ref="AX41:AX42"/>
    <mergeCell ref="AU37:AU38"/>
    <mergeCell ref="L37:N38"/>
    <mergeCell ref="Q37:S37"/>
    <mergeCell ref="O37:P37"/>
    <mergeCell ref="O38:P38"/>
    <mergeCell ref="AB41:AD42"/>
    <mergeCell ref="E42:F42"/>
    <mergeCell ref="G42:K42"/>
    <mergeCell ref="Q42:U42"/>
    <mergeCell ref="AW45:AW46"/>
    <mergeCell ref="AX45:AX46"/>
    <mergeCell ref="BE39:BE40"/>
    <mergeCell ref="BE41:BE42"/>
    <mergeCell ref="AY41:AY42"/>
    <mergeCell ref="AZ41:AZ42"/>
    <mergeCell ref="BA41:BA42"/>
    <mergeCell ref="BB41:BB42"/>
    <mergeCell ref="BA43:BA44"/>
    <mergeCell ref="BB43:BB44"/>
    <mergeCell ref="BC43:BC44"/>
    <mergeCell ref="BD43:BD44"/>
    <mergeCell ref="AY43:AY44"/>
    <mergeCell ref="AZ43:AZ44"/>
    <mergeCell ref="BC41:BC42"/>
    <mergeCell ref="BD41:BD42"/>
    <mergeCell ref="BE43:BE44"/>
    <mergeCell ref="BA45:BA46"/>
    <mergeCell ref="BB45:BB46"/>
    <mergeCell ref="BC45:BC46"/>
    <mergeCell ref="BD45:BD46"/>
    <mergeCell ref="BE47:BE48"/>
    <mergeCell ref="AY47:AY48"/>
    <mergeCell ref="AZ47:AZ48"/>
    <mergeCell ref="BA47:BA48"/>
    <mergeCell ref="BB47:BB48"/>
    <mergeCell ref="AG49:AJ50"/>
    <mergeCell ref="AK49:AM50"/>
    <mergeCell ref="AK41:AM42"/>
    <mergeCell ref="AK39:AM40"/>
    <mergeCell ref="AE41:AF42"/>
    <mergeCell ref="AG41:AJ42"/>
    <mergeCell ref="BE49:BE50"/>
    <mergeCell ref="BA49:BA50"/>
    <mergeCell ref="BB49:BB50"/>
    <mergeCell ref="BC47:BC48"/>
    <mergeCell ref="BD47:BD48"/>
    <mergeCell ref="AV49:AV50"/>
    <mergeCell ref="AZ49:AZ50"/>
    <mergeCell ref="BC49:BC50"/>
    <mergeCell ref="BD49:BD50"/>
    <mergeCell ref="AX49:AX50"/>
    <mergeCell ref="AY49:AY50"/>
    <mergeCell ref="AW49:AW50"/>
    <mergeCell ref="AV47:AV48"/>
    <mergeCell ref="AW47:AW48"/>
    <mergeCell ref="AX47:AX48"/>
    <mergeCell ref="BE45:BE46"/>
    <mergeCell ref="AY45:AY46"/>
    <mergeCell ref="AZ45:AZ46"/>
    <mergeCell ref="H3:J6"/>
    <mergeCell ref="K3:N3"/>
    <mergeCell ref="G11:K11"/>
    <mergeCell ref="O8:AA8"/>
    <mergeCell ref="B3:D3"/>
    <mergeCell ref="Y9:AA9"/>
    <mergeCell ref="AU49:AU50"/>
    <mergeCell ref="AU47:AU48"/>
    <mergeCell ref="AU45:AU46"/>
    <mergeCell ref="AG47:AJ48"/>
    <mergeCell ref="Q48:U48"/>
    <mergeCell ref="O40:P40"/>
    <mergeCell ref="Q45:S45"/>
    <mergeCell ref="U47:W47"/>
    <mergeCell ref="W40:AA40"/>
    <mergeCell ref="O47:P47"/>
    <mergeCell ref="O41:P41"/>
    <mergeCell ref="O42:P42"/>
    <mergeCell ref="O46:P46"/>
    <mergeCell ref="O43:P43"/>
    <mergeCell ref="Q43:S43"/>
    <mergeCell ref="AB49:AD50"/>
    <mergeCell ref="AE49:AF50"/>
    <mergeCell ref="Y49:AA49"/>
    <mergeCell ref="AE4:AG6"/>
    <mergeCell ref="AH4:AM6"/>
    <mergeCell ref="AK8:AM8"/>
    <mergeCell ref="O10:P10"/>
    <mergeCell ref="Y17:AA17"/>
    <mergeCell ref="AG17:AJ18"/>
    <mergeCell ref="AR1:AS1"/>
    <mergeCell ref="B1:D1"/>
    <mergeCell ref="E1:AJ1"/>
    <mergeCell ref="AK1:AQ1"/>
    <mergeCell ref="AE11:AF12"/>
    <mergeCell ref="AG11:AJ12"/>
    <mergeCell ref="T4:AD6"/>
    <mergeCell ref="O4:S6"/>
    <mergeCell ref="AB11:AD12"/>
    <mergeCell ref="E12:F12"/>
    <mergeCell ref="Q10:U10"/>
    <mergeCell ref="L9:N10"/>
    <mergeCell ref="AG8:AJ8"/>
    <mergeCell ref="O9:P9"/>
    <mergeCell ref="AE9:AF10"/>
    <mergeCell ref="AG9:AJ10"/>
    <mergeCell ref="AB9:AD10"/>
    <mergeCell ref="K4:N6"/>
    <mergeCell ref="B2:AM2"/>
    <mergeCell ref="B35:D36"/>
    <mergeCell ref="U35:W35"/>
    <mergeCell ref="Y35:AA35"/>
    <mergeCell ref="E35:F35"/>
    <mergeCell ref="O14:P14"/>
    <mergeCell ref="AB27:AD28"/>
    <mergeCell ref="AE13:AF14"/>
    <mergeCell ref="AG13:AJ14"/>
    <mergeCell ref="AB15:AD16"/>
    <mergeCell ref="AB13:AD14"/>
    <mergeCell ref="AB23:AD24"/>
    <mergeCell ref="AB21:AD22"/>
    <mergeCell ref="AK11:AM12"/>
    <mergeCell ref="T3:AG3"/>
    <mergeCell ref="O3:S3"/>
    <mergeCell ref="AE8:AF8"/>
    <mergeCell ref="W10:AA10"/>
    <mergeCell ref="AB8:AD8"/>
    <mergeCell ref="AK15:AM16"/>
    <mergeCell ref="AK17:AM18"/>
    <mergeCell ref="AK9:AM10"/>
    <mergeCell ref="L8:N8"/>
    <mergeCell ref="AH3:AM3"/>
    <mergeCell ref="B41:D42"/>
    <mergeCell ref="E41:F41"/>
    <mergeCell ref="L41:N42"/>
    <mergeCell ref="Q41:S41"/>
    <mergeCell ref="AB29:AD30"/>
    <mergeCell ref="AE27:AF28"/>
    <mergeCell ref="AG27:AJ28"/>
    <mergeCell ref="W28:AA28"/>
    <mergeCell ref="AE39:AF40"/>
    <mergeCell ref="AG39:AJ40"/>
    <mergeCell ref="AG37:AJ38"/>
    <mergeCell ref="O39:P39"/>
    <mergeCell ref="AE35:AF36"/>
    <mergeCell ref="AG35:AJ36"/>
    <mergeCell ref="AG31:AJ32"/>
    <mergeCell ref="B37:D38"/>
    <mergeCell ref="U37:W37"/>
    <mergeCell ref="AB37:AD38"/>
    <mergeCell ref="E38:F38"/>
    <mergeCell ref="G38:K38"/>
    <mergeCell ref="Q38:U38"/>
    <mergeCell ref="E30:F30"/>
    <mergeCell ref="E27:F27"/>
    <mergeCell ref="E28:F28"/>
  </mergeCells>
  <phoneticPr fontId="2"/>
  <conditionalFormatting sqref="L6:N6">
    <cfRule type="cellIs" dxfId="3" priority="1" stopIfTrue="1" operator="equal">
      <formula>""</formula>
    </cfRule>
    <cfRule type="cellIs" dxfId="2" priority="2" stopIfTrue="1" operator="equal">
      <formula>"営業担当"</formula>
    </cfRule>
  </conditionalFormatting>
  <conditionalFormatting sqref="AN6:AO6">
    <cfRule type="expression" dxfId="1" priority="3" stopIfTrue="1">
      <formula>OR(, ISBLANK(精算区分), 精算区分="本人立替")</formula>
    </cfRule>
    <cfRule type="expression" dxfId="0" priority="4" stopIfTrue="1">
      <formula>NOT(OR(, ISBLANK(精算区分), 精算区分="本人立替"))</formula>
    </cfRule>
  </conditionalFormatting>
  <dataValidations xWindow="712" yWindow="251" count="7">
    <dataValidation imeMode="off" allowBlank="1" showInputMessage="1" showErrorMessage="1" sqref="AN4:AS4 AB49 B6:D6 AG9 AK49 AK47 AG11 AG13 AG15 AG17 AG19 AG21 AG23 AG25 AG27 AG29 AG31 AG33 AG35 AG37 AG39 AG41 AG45 AG47 AG49 B9:D50 AB13 AB15 AB17 AB19 AB21 AB23 AB25 AB27 AB29 AB31 AB33 AB35 AB37 AB39 AB41 AB45 AB47 AB43 AG43 AK9 AK11 AK13 AK15 AK17 AK19 AK21 AK23 AK25 AK27 AK29 AK31 AK33 AK35 AK37 AK39 AK41 AK43 AK45 AB9 AB11" xr:uid="{00000000-0002-0000-0100-000000000000}"/>
    <dataValidation imeMode="hiragana" allowBlank="1" showInputMessage="1" showErrorMessage="1" sqref="Q49:S49 W44 U43:W43 Q43:S43 Y43:AA43 E6:J6 Y19:AA19 Y21:AA21 Y23:AA23 Q20 Q22 Q24 Q26 Q28 Q30 Q32 Q34 Q36 Q38 Q40 W42 Q46 Q48 Q50 Y25:AA25 Y27:AA27 Y29:AA29 Y31:AA31 W20 W22 W24 W26 W28 W30 W32 W34 W36 W38 W40 Y49:AA49 W46 W48 W50 Y33:AA33 Y35:AA35 Y37:AA37 Y39:AA39 U19:W19 U21:W21 U23:W23 U25:W25 U27:W27 U29:W29 U31:W31 U33:W33 U35:W35 U37:W37 U39:W39 U41:W41 U45:W45 U47:W47 U49:W49 Y41:AA41 Y45:AA45 Y47:AA47 Q42 Q19:S19 Q21:S21 Q23:S23 Q25:S25 Q27:S27 Q29:S29 Q31:S31 Q33:S33 Q35:S35 Q37:S37 Q39:S39 Q41:S41 Q45:S45 Q47:S47 Y9:AA9 Y11:AA11 Y13:AA13 Y15:AA15 Y17:AA17 Q10 Q12 Q14 Q16 Q18 W10 W12 W14 W16 W18 U9:W9 U11:W11 U13:W13 U15:W15 U17:W17 Q9:S9 Q11:S11 Q13:S13 Q15:S15 Q17:S17 Q44" xr:uid="{00000000-0002-0000-0100-000001000000}"/>
    <dataValidation imeMode="off" allowBlank="1" showInputMessage="1" showErrorMessage="1" promptTitle="領収証No. " prompt="精算書作成者が領収証につけた番号を入力します" sqref="AW51 AT51:AU51" xr:uid="{00000000-0002-0000-0100-000002000000}"/>
    <dataValidation type="list" imeMode="off" allowBlank="1" showInputMessage="1" showErrorMessage="1" sqref="AE9:AF50" xr:uid="{00000000-0002-0000-0100-000003000000}">
      <formula1>"●, "</formula1>
    </dataValidation>
    <dataValidation type="list" allowBlank="1" showInputMessage="1" showErrorMessage="1" sqref="L9:N50" xr:uid="{00000000-0002-0000-0100-000004000000}">
      <formula1>"電車・バス,タクシー"</formula1>
    </dataValidation>
    <dataValidation type="list" allowBlank="1" showInputMessage="1" showErrorMessage="1" sqref="G9:K9 G11:K11 G13:K13 G15:K15 G17:K17 G19:K19 G21:K21 G23:K23 G25:K25 G27:K27 G29:K29 G31:K31 G33:K33 G35:K35 G37:K37 G39:K39 G41:K41 G43:K43 G45:K45 G47:K47 G49:K49" xr:uid="{00000000-0002-0000-0100-000005000000}">
      <formula1>"営業活動,客先作業,研修・セミナー参加,深夜帰宅,接待関連,その他会社業務"</formula1>
    </dataValidation>
    <dataValidation type="list" imeMode="hiragana" allowBlank="1" showInputMessage="1" showErrorMessage="1" sqref="K4:N6" xr:uid="{00000000-0002-0000-0100-000006000000}">
      <formula1>"取締役会,監査役会,財務経理部,経営企画部,人事総務部,海外事業管理部"</formula1>
    </dataValidation>
  </dataValidations>
  <pageMargins left="0.78740157480314965" right="0.19685039370078741" top="0.19685039370078741" bottom="0" header="0.19685039370078741" footer="0"/>
  <pageSetup paperSize="9" scale="95" orientation="portrait" blackAndWhite="1" horizontalDpi="300" verticalDpi="300" r:id="rId1"/>
  <headerFooter alignWithMargins="0"/>
  <colBreaks count="1" manualBreakCount="1">
    <brk id="40" max="63"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S4"/>
  <sheetViews>
    <sheetView workbookViewId="0"/>
  </sheetViews>
  <sheetFormatPr defaultRowHeight="13.2" x14ac:dyDescent="0.2"/>
  <cols>
    <col min="1" max="1" width="14.44140625" customWidth="1"/>
    <col min="2" max="3" width="15.44140625" customWidth="1"/>
    <col min="4" max="4" width="24.44140625" customWidth="1"/>
    <col min="5" max="5" width="22.21875" style="59" customWidth="1"/>
    <col min="6" max="8" width="13.21875" customWidth="1"/>
    <col min="9" max="9" width="14.6640625" customWidth="1"/>
    <col min="10" max="12" width="15.44140625" customWidth="1"/>
    <col min="13" max="13" width="13.44140625" customWidth="1"/>
    <col min="14" max="15" width="13.109375" customWidth="1"/>
    <col min="16" max="16" width="19.77734375" customWidth="1"/>
    <col min="17" max="17" width="48" customWidth="1"/>
    <col min="18" max="18" width="26.77734375" customWidth="1"/>
    <col min="19" max="19" width="49.44140625" customWidth="1"/>
  </cols>
  <sheetData>
    <row r="1" spans="1:19" x14ac:dyDescent="0.2">
      <c r="A1" t="s">
        <v>92</v>
      </c>
      <c r="B1" s="60" t="s">
        <v>74</v>
      </c>
      <c r="C1" s="60" t="s">
        <v>21</v>
      </c>
      <c r="D1" s="60" t="s">
        <v>75</v>
      </c>
      <c r="E1" s="61" t="s">
        <v>9</v>
      </c>
      <c r="F1" s="60" t="s">
        <v>91</v>
      </c>
      <c r="G1" s="60" t="s">
        <v>76</v>
      </c>
      <c r="H1" s="60" t="s">
        <v>77</v>
      </c>
      <c r="I1" s="64" t="s">
        <v>78</v>
      </c>
      <c r="J1" s="60" t="s">
        <v>79</v>
      </c>
      <c r="K1" s="60" t="s">
        <v>80</v>
      </c>
      <c r="L1" s="60" t="s">
        <v>81</v>
      </c>
      <c r="M1" s="60" t="s">
        <v>82</v>
      </c>
      <c r="N1" t="s">
        <v>83</v>
      </c>
      <c r="O1" s="60" t="s">
        <v>94</v>
      </c>
      <c r="P1" t="s">
        <v>84</v>
      </c>
      <c r="Q1" t="s">
        <v>85</v>
      </c>
      <c r="R1" t="s">
        <v>86</v>
      </c>
      <c r="S1" t="s">
        <v>87</v>
      </c>
    </row>
    <row r="2" spans="1:19" x14ac:dyDescent="0.2">
      <c r="A2" s="60" t="s">
        <v>93</v>
      </c>
      <c r="B2" s="60">
        <f>'精算書（交通費）'!S4</f>
        <v>0</v>
      </c>
      <c r="C2" s="60">
        <f>'精算書（交通費）'!N4</f>
        <v>0</v>
      </c>
      <c r="D2" s="60">
        <f>'精算書（交通費）'!J4</f>
        <v>0</v>
      </c>
      <c r="E2" s="59">
        <f>MAX('精算書（交通費）'!A:A)</f>
        <v>0</v>
      </c>
      <c r="F2" t="str">
        <f>IF(D2="管理部","",IF(D2="営業部","",IF(D2="取締役会","","製造部門")))</f>
        <v>製造部門</v>
      </c>
      <c r="I2" t="s">
        <v>89</v>
      </c>
      <c r="J2" t="str">
        <f>IF(F2&lt;&gt;"","[製]"&amp;I2,I2)</f>
        <v>[製]旅費交通費</v>
      </c>
      <c r="M2">
        <f>B2</f>
        <v>0</v>
      </c>
      <c r="N2" s="63">
        <f>'精算書（交通費）'!S47</f>
        <v>0</v>
      </c>
      <c r="O2" s="63"/>
      <c r="P2" t="s">
        <v>88</v>
      </c>
      <c r="Q2" s="62" t="str">
        <f>'精算書（交通費）'!A47</f>
        <v>電車・バス</v>
      </c>
      <c r="S2" t="str">
        <f ca="1">MID(CELL("filename"),FIND("[",CELL("filename"))+1,FIND("]",CELL("filename"))-FIND("[",CELL("filename"))-1)</f>
        <v>精算書_集（交通費）_氏名_YYYYMM.xlsx</v>
      </c>
    </row>
    <row r="3" spans="1:19" x14ac:dyDescent="0.2">
      <c r="A3" s="60" t="s">
        <v>93</v>
      </c>
      <c r="B3" s="60">
        <f>'精算書（交通費）'!S4</f>
        <v>0</v>
      </c>
      <c r="C3" s="60">
        <f>'精算書（交通費）'!N4</f>
        <v>0</v>
      </c>
      <c r="D3" s="60">
        <f>'精算書（交通費）'!J4</f>
        <v>0</v>
      </c>
      <c r="E3" s="59">
        <f>MAX('精算書（交通費）'!A:A)</f>
        <v>0</v>
      </c>
      <c r="F3" t="str">
        <f>IF(D3="管理部","",IF(D3="営業部","",IF(D3="取締役会","","製造部門")))</f>
        <v>製造部門</v>
      </c>
      <c r="I3" t="s">
        <v>89</v>
      </c>
      <c r="J3" t="str">
        <f>IF(F3&lt;&gt;"","[製]"&amp;I3,I3)</f>
        <v>[製]旅費交通費</v>
      </c>
      <c r="M3">
        <f>B3</f>
        <v>0</v>
      </c>
      <c r="N3" s="63">
        <f>'精算書（交通費）'!S48</f>
        <v>0</v>
      </c>
      <c r="O3" s="63"/>
      <c r="P3" t="s">
        <v>88</v>
      </c>
      <c r="Q3" s="62" t="str">
        <f>'精算書（交通費）'!A48</f>
        <v>タクシー</v>
      </c>
      <c r="S3" t="str">
        <f ca="1">MID(CELL("filename"),FIND("[",CELL("filename"))+1,FIND("]",CELL("filename"))-FIND("[",CELL("filename"))-1)</f>
        <v>精算書_集（交通費）_氏名_YYYYMM.xlsx</v>
      </c>
    </row>
    <row r="4" spans="1:19" x14ac:dyDescent="0.2">
      <c r="A4" s="60" t="s">
        <v>93</v>
      </c>
      <c r="B4" s="60">
        <f>'精算書（交通費）'!S4</f>
        <v>0</v>
      </c>
      <c r="C4" s="60">
        <f>'精算書（交通費）'!N4</f>
        <v>0</v>
      </c>
      <c r="D4" s="60">
        <f>'精算書（交通費）'!J4</f>
        <v>0</v>
      </c>
      <c r="E4" s="59">
        <f>MAX('精算書（交通費）'!A:A)</f>
        <v>0</v>
      </c>
      <c r="F4" t="str">
        <f>IF(D4="管理部","",IF(D4="営業部","",IF(D4="取締役会","","製造部門")))</f>
        <v>製造部門</v>
      </c>
      <c r="I4" t="s">
        <v>90</v>
      </c>
      <c r="J4" t="str">
        <f>IF(F4&lt;&gt;"","[製]"&amp;I4,I4)</f>
        <v>[製]交際費</v>
      </c>
      <c r="M4">
        <f>B4</f>
        <v>0</v>
      </c>
      <c r="N4" s="63">
        <f>'精算書（交通費）'!S49</f>
        <v>0</v>
      </c>
      <c r="O4" s="63"/>
      <c r="P4" t="s">
        <v>88</v>
      </c>
      <c r="Q4" s="62" t="str">
        <f>RIGHT('精算書（交通費）'!L49,6)</f>
        <v>他接待交際費</v>
      </c>
      <c r="S4" t="str">
        <f ca="1">MID(CELL("filename"),FIND("[",CELL("filename"))+1,FIND("]",CELL("filename"))-FIND("[",CELL("filename"))-1)</f>
        <v>精算書_集（交通費）_氏名_YYYYMM.xlsx</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B12"/>
  <sheetViews>
    <sheetView zoomScale="85" zoomScaleNormal="85" workbookViewId="0"/>
  </sheetViews>
  <sheetFormatPr defaultRowHeight="13.2" x14ac:dyDescent="0.2"/>
  <cols>
    <col min="1" max="1" width="29.44140625" customWidth="1"/>
  </cols>
  <sheetData>
    <row r="1" spans="1:2" x14ac:dyDescent="0.2">
      <c r="A1" s="14" t="s">
        <v>63</v>
      </c>
      <c r="B1" s="14"/>
    </row>
    <row r="2" spans="1:2" ht="24" x14ac:dyDescent="0.2">
      <c r="A2" s="55" t="s">
        <v>64</v>
      </c>
      <c r="B2" s="56" t="s">
        <v>65</v>
      </c>
    </row>
    <row r="3" spans="1:2" x14ac:dyDescent="0.2">
      <c r="A3" s="57"/>
      <c r="B3" s="57">
        <v>1</v>
      </c>
    </row>
    <row r="4" spans="1:2" x14ac:dyDescent="0.2">
      <c r="A4" s="58" t="s">
        <v>66</v>
      </c>
      <c r="B4" s="58">
        <v>1</v>
      </c>
    </row>
    <row r="5" spans="1:2" x14ac:dyDescent="0.2">
      <c r="A5" s="58" t="s">
        <v>67</v>
      </c>
      <c r="B5" s="58">
        <v>1</v>
      </c>
    </row>
    <row r="6" spans="1:2" x14ac:dyDescent="0.2">
      <c r="A6" s="58" t="s">
        <v>68</v>
      </c>
      <c r="B6" s="58">
        <v>1</v>
      </c>
    </row>
    <row r="7" spans="1:2" x14ac:dyDescent="0.2">
      <c r="A7" s="58"/>
      <c r="B7" s="58"/>
    </row>
    <row r="8" spans="1:2" x14ac:dyDescent="0.2">
      <c r="A8" s="58" t="s">
        <v>69</v>
      </c>
      <c r="B8" s="58">
        <v>1</v>
      </c>
    </row>
    <row r="9" spans="1:2" x14ac:dyDescent="0.2">
      <c r="A9" s="58" t="s">
        <v>71</v>
      </c>
      <c r="B9" s="58">
        <v>1</v>
      </c>
    </row>
    <row r="10" spans="1:2" x14ac:dyDescent="0.2">
      <c r="A10" s="58" t="s">
        <v>72</v>
      </c>
      <c r="B10" s="58">
        <v>1</v>
      </c>
    </row>
    <row r="11" spans="1:2" x14ac:dyDescent="0.2">
      <c r="A11" s="58"/>
      <c r="B11" s="58"/>
    </row>
    <row r="12" spans="1:2" x14ac:dyDescent="0.2">
      <c r="A12" s="58" t="s">
        <v>73</v>
      </c>
      <c r="B12" s="58">
        <v>1</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9</vt:i4>
      </vt:variant>
    </vt:vector>
  </HeadingPairs>
  <TitlesOfParts>
    <vt:vector size="13" baseType="lpstr">
      <vt:lpstr>精算書（交通費）</vt:lpstr>
      <vt:lpstr>記入例</vt:lpstr>
      <vt:lpstr>集計シート</vt:lpstr>
      <vt:lpstr>部門</vt:lpstr>
      <vt:lpstr>記入例!Print_Area</vt:lpstr>
      <vt:lpstr>'精算書（交通費）'!Print_Area</vt:lpstr>
      <vt:lpstr>記入例!仮払金額</vt:lpstr>
      <vt:lpstr>'精算書（交通費）'!仮払金額</vt:lpstr>
      <vt:lpstr>記入例!会社名</vt:lpstr>
      <vt:lpstr>'精算書（交通費）'!会社名</vt:lpstr>
      <vt:lpstr>記入例!精算区分</vt:lpstr>
      <vt:lpstr>'精算書（交通費）'!精算区分</vt:lpstr>
      <vt:lpstr>部門</vt:lpstr>
    </vt:vector>
  </TitlesOfParts>
  <Manager>経理G</Manager>
  <Company>株式会社サン・ジャパン</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精算書（交通費）</dc:title>
  <dc:subject>Version 3.01</dc:subject>
  <dc:creator>経理部</dc:creator>
  <cp:lastModifiedBy>美幸</cp:lastModifiedBy>
  <cp:lastPrinted>2025-04-14T04:50:55Z</cp:lastPrinted>
  <dcterms:created xsi:type="dcterms:W3CDTF">1997-01-08T22:48:59Z</dcterms:created>
  <dcterms:modified xsi:type="dcterms:W3CDTF">2025-04-14T05:11:30Z</dcterms:modified>
  <cp:category/>
</cp:coreProperties>
</file>